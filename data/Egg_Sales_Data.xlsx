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00987AB3-9BF0-4BBE-A65F-1528F5E2D13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5" i="1" l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O2" i="1"/>
  <c r="N2" i="1"/>
  <c r="A3" i="1"/>
  <c r="O3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2" i="1"/>
  <c r="C2" i="1"/>
  <c r="B2" i="1"/>
  <c r="A4" i="1" l="1"/>
  <c r="O4" i="1" s="1"/>
  <c r="N3" i="1"/>
  <c r="E2" i="1"/>
  <c r="F2" i="1" s="1"/>
  <c r="D2" i="1"/>
  <c r="C3" i="1"/>
  <c r="B3" i="1"/>
  <c r="B4" i="1"/>
  <c r="A5" i="1" l="1"/>
  <c r="O5" i="1" s="1"/>
  <c r="N4" i="1"/>
  <c r="C4" i="1"/>
  <c r="I2" i="1"/>
  <c r="J14" i="1"/>
  <c r="J2" i="1"/>
  <c r="H2" i="1"/>
  <c r="E3" i="1"/>
  <c r="F3" i="1" s="1"/>
  <c r="D3" i="1"/>
  <c r="E4" i="1"/>
  <c r="F4" i="1" s="1"/>
  <c r="D4" i="1"/>
  <c r="B5" i="1"/>
  <c r="A6" i="1" l="1"/>
  <c r="O6" i="1" s="1"/>
  <c r="N5" i="1"/>
  <c r="C5" i="1"/>
  <c r="L2" i="1"/>
  <c r="M2" i="1"/>
  <c r="I3" i="1"/>
  <c r="J15" i="1"/>
  <c r="I4" i="1"/>
  <c r="J16" i="1"/>
  <c r="J3" i="1"/>
  <c r="J4" i="1"/>
  <c r="H3" i="1"/>
  <c r="H4" i="1"/>
  <c r="E5" i="1"/>
  <c r="F5" i="1" s="1"/>
  <c r="D5" i="1"/>
  <c r="B6" i="1"/>
  <c r="P2" i="1" l="1"/>
  <c r="R2" i="1"/>
  <c r="A7" i="1"/>
  <c r="O7" i="1" s="1"/>
  <c r="N6" i="1"/>
  <c r="C6" i="1"/>
  <c r="L3" i="1"/>
  <c r="M3" i="1"/>
  <c r="L4" i="1"/>
  <c r="M4" i="1"/>
  <c r="I5" i="1"/>
  <c r="J17" i="1"/>
  <c r="J5" i="1"/>
  <c r="H5" i="1"/>
  <c r="E6" i="1"/>
  <c r="F6" i="1" s="1"/>
  <c r="D6" i="1"/>
  <c r="B7" i="1"/>
  <c r="P4" i="1" l="1"/>
  <c r="R4" i="1"/>
  <c r="P3" i="1"/>
  <c r="R3" i="1"/>
  <c r="A8" i="1"/>
  <c r="O8" i="1" s="1"/>
  <c r="N7" i="1"/>
  <c r="C7" i="1"/>
  <c r="L5" i="1"/>
  <c r="M5" i="1"/>
  <c r="I6" i="1"/>
  <c r="J18" i="1"/>
  <c r="H6" i="1"/>
  <c r="E7" i="1"/>
  <c r="F7" i="1" s="1"/>
  <c r="D7" i="1"/>
  <c r="B8" i="1"/>
  <c r="P5" i="1" l="1"/>
  <c r="R5" i="1"/>
  <c r="A9" i="1"/>
  <c r="O9" i="1" s="1"/>
  <c r="N8" i="1"/>
  <c r="C8" i="1"/>
  <c r="L6" i="1"/>
  <c r="M6" i="1"/>
  <c r="I7" i="1"/>
  <c r="J19" i="1"/>
  <c r="J7" i="1"/>
  <c r="H7" i="1"/>
  <c r="E8" i="1"/>
  <c r="F8" i="1" s="1"/>
  <c r="D8" i="1"/>
  <c r="B9" i="1"/>
  <c r="P6" i="1" l="1"/>
  <c r="R6" i="1"/>
  <c r="A10" i="1"/>
  <c r="O10" i="1" s="1"/>
  <c r="N9" i="1"/>
  <c r="C9" i="1"/>
  <c r="L7" i="1"/>
  <c r="M7" i="1"/>
  <c r="I8" i="1"/>
  <c r="J20" i="1"/>
  <c r="J8" i="1"/>
  <c r="H8" i="1"/>
  <c r="E9" i="1"/>
  <c r="F9" i="1" s="1"/>
  <c r="D9" i="1"/>
  <c r="B10" i="1"/>
  <c r="P7" i="1" l="1"/>
  <c r="R7" i="1"/>
  <c r="A11" i="1"/>
  <c r="O11" i="1" s="1"/>
  <c r="N10" i="1"/>
  <c r="C10" i="1"/>
  <c r="L8" i="1"/>
  <c r="M8" i="1"/>
  <c r="I9" i="1"/>
  <c r="J21" i="1"/>
  <c r="J9" i="1"/>
  <c r="H9" i="1"/>
  <c r="E10" i="1"/>
  <c r="F10" i="1" s="1"/>
  <c r="D10" i="1"/>
  <c r="B11" i="1"/>
  <c r="P8" i="1" l="1"/>
  <c r="R8" i="1"/>
  <c r="A12" i="1"/>
  <c r="O12" i="1" s="1"/>
  <c r="N11" i="1"/>
  <c r="C11" i="1"/>
  <c r="L9" i="1"/>
  <c r="M9" i="1"/>
  <c r="I10" i="1"/>
  <c r="J22" i="1"/>
  <c r="J10" i="1"/>
  <c r="H10" i="1"/>
  <c r="E11" i="1"/>
  <c r="F11" i="1" s="1"/>
  <c r="D11" i="1"/>
  <c r="B12" i="1"/>
  <c r="P9" i="1" l="1"/>
  <c r="R9" i="1"/>
  <c r="A13" i="1"/>
  <c r="O13" i="1" s="1"/>
  <c r="N12" i="1"/>
  <c r="C12" i="1"/>
  <c r="L10" i="1"/>
  <c r="M10" i="1"/>
  <c r="I11" i="1"/>
  <c r="J23" i="1"/>
  <c r="J11" i="1"/>
  <c r="H11" i="1"/>
  <c r="E12" i="1"/>
  <c r="F12" i="1" s="1"/>
  <c r="D12" i="1"/>
  <c r="B13" i="1"/>
  <c r="P10" i="1" l="1"/>
  <c r="R10" i="1"/>
  <c r="A14" i="1"/>
  <c r="O14" i="1" s="1"/>
  <c r="N13" i="1"/>
  <c r="C13" i="1"/>
  <c r="L11" i="1"/>
  <c r="M11" i="1"/>
  <c r="I12" i="1"/>
  <c r="J24" i="1"/>
  <c r="J12" i="1"/>
  <c r="H12" i="1"/>
  <c r="E13" i="1"/>
  <c r="F13" i="1" s="1"/>
  <c r="D13" i="1"/>
  <c r="P11" i="1" l="1"/>
  <c r="R11" i="1"/>
  <c r="A15" i="1"/>
  <c r="O15" i="1" s="1"/>
  <c r="N14" i="1"/>
  <c r="C14" i="1"/>
  <c r="B14" i="1"/>
  <c r="L12" i="1"/>
  <c r="M12" i="1"/>
  <c r="I13" i="1"/>
  <c r="J25" i="1"/>
  <c r="J13" i="1"/>
  <c r="H13" i="1"/>
  <c r="P12" i="1" l="1"/>
  <c r="R12" i="1"/>
  <c r="E14" i="1"/>
  <c r="F14" i="1" s="1"/>
  <c r="D14" i="1"/>
  <c r="A16" i="1"/>
  <c r="O16" i="1" s="1"/>
  <c r="N15" i="1"/>
  <c r="B15" i="1"/>
  <c r="C15" i="1"/>
  <c r="L13" i="1"/>
  <c r="M13" i="1"/>
  <c r="P13" i="1" l="1"/>
  <c r="R13" i="1"/>
  <c r="D15" i="1"/>
  <c r="E15" i="1"/>
  <c r="F15" i="1" s="1"/>
  <c r="A17" i="1"/>
  <c r="O17" i="1" s="1"/>
  <c r="N16" i="1"/>
  <c r="B16" i="1"/>
  <c r="C16" i="1"/>
  <c r="I14" i="1"/>
  <c r="J26" i="1"/>
  <c r="H14" i="1"/>
  <c r="L14" i="1" l="1"/>
  <c r="M14" i="1"/>
  <c r="D16" i="1"/>
  <c r="E16" i="1"/>
  <c r="F16" i="1" s="1"/>
  <c r="A18" i="1"/>
  <c r="O18" i="1" s="1"/>
  <c r="N17" i="1"/>
  <c r="B17" i="1"/>
  <c r="C17" i="1"/>
  <c r="I15" i="1"/>
  <c r="J27" i="1"/>
  <c r="H15" i="1"/>
  <c r="P14" i="1" l="1"/>
  <c r="R14" i="1"/>
  <c r="L15" i="1"/>
  <c r="M15" i="1"/>
  <c r="D17" i="1"/>
  <c r="E17" i="1"/>
  <c r="F17" i="1" s="1"/>
  <c r="A19" i="1"/>
  <c r="O19" i="1" s="1"/>
  <c r="N18" i="1"/>
  <c r="B18" i="1"/>
  <c r="C18" i="1"/>
  <c r="I16" i="1"/>
  <c r="J28" i="1"/>
  <c r="H16" i="1"/>
  <c r="P15" i="1" l="1"/>
  <c r="R15" i="1"/>
  <c r="L16" i="1"/>
  <c r="M16" i="1"/>
  <c r="D18" i="1"/>
  <c r="E18" i="1"/>
  <c r="F18" i="1" s="1"/>
  <c r="A20" i="1"/>
  <c r="O20" i="1" s="1"/>
  <c r="N19" i="1"/>
  <c r="B19" i="1"/>
  <c r="C19" i="1"/>
  <c r="I17" i="1"/>
  <c r="J29" i="1"/>
  <c r="H17" i="1"/>
  <c r="P16" i="1" l="1"/>
  <c r="R16" i="1"/>
  <c r="L17" i="1"/>
  <c r="M17" i="1"/>
  <c r="D19" i="1"/>
  <c r="E19" i="1"/>
  <c r="F19" i="1" s="1"/>
  <c r="A21" i="1"/>
  <c r="O21" i="1" s="1"/>
  <c r="N20" i="1"/>
  <c r="B20" i="1"/>
  <c r="C20" i="1"/>
  <c r="I18" i="1"/>
  <c r="J30" i="1"/>
  <c r="H18" i="1"/>
  <c r="P17" i="1" l="1"/>
  <c r="R17" i="1"/>
  <c r="L18" i="1"/>
  <c r="M18" i="1"/>
  <c r="D20" i="1"/>
  <c r="E20" i="1"/>
  <c r="F20" i="1" s="1"/>
  <c r="A22" i="1"/>
  <c r="O22" i="1" s="1"/>
  <c r="N21" i="1"/>
  <c r="B21" i="1"/>
  <c r="C21" i="1"/>
  <c r="I19" i="1"/>
  <c r="J31" i="1"/>
  <c r="H19" i="1"/>
  <c r="P18" i="1" l="1"/>
  <c r="R18" i="1"/>
  <c r="L19" i="1"/>
  <c r="M19" i="1"/>
  <c r="D21" i="1"/>
  <c r="E21" i="1"/>
  <c r="F21" i="1" s="1"/>
  <c r="A23" i="1"/>
  <c r="O23" i="1" s="1"/>
  <c r="N22" i="1"/>
  <c r="B22" i="1"/>
  <c r="C22" i="1"/>
  <c r="I20" i="1"/>
  <c r="J32" i="1"/>
  <c r="H20" i="1"/>
  <c r="P19" i="1" l="1"/>
  <c r="R19" i="1"/>
  <c r="L20" i="1"/>
  <c r="M20" i="1"/>
  <c r="D22" i="1"/>
  <c r="E22" i="1"/>
  <c r="F22" i="1" s="1"/>
  <c r="A24" i="1"/>
  <c r="O24" i="1" s="1"/>
  <c r="N23" i="1"/>
  <c r="B23" i="1"/>
  <c r="C23" i="1"/>
  <c r="I21" i="1"/>
  <c r="J33" i="1"/>
  <c r="H21" i="1"/>
  <c r="P20" i="1" l="1"/>
  <c r="R20" i="1"/>
  <c r="L21" i="1"/>
  <c r="M21" i="1"/>
  <c r="D23" i="1"/>
  <c r="E23" i="1"/>
  <c r="F23" i="1" s="1"/>
  <c r="A25" i="1"/>
  <c r="O25" i="1" s="1"/>
  <c r="N24" i="1"/>
  <c r="B24" i="1"/>
  <c r="C24" i="1"/>
  <c r="I22" i="1"/>
  <c r="J34" i="1"/>
  <c r="H22" i="1"/>
  <c r="P21" i="1" l="1"/>
  <c r="R21" i="1"/>
  <c r="L22" i="1"/>
  <c r="M22" i="1"/>
  <c r="D24" i="1"/>
  <c r="E24" i="1"/>
  <c r="F24" i="1" s="1"/>
  <c r="A26" i="1"/>
  <c r="O26" i="1" s="1"/>
  <c r="N25" i="1"/>
  <c r="B25" i="1"/>
  <c r="C25" i="1"/>
  <c r="I23" i="1"/>
  <c r="J35" i="1"/>
  <c r="H23" i="1"/>
  <c r="P22" i="1" l="1"/>
  <c r="R22" i="1"/>
  <c r="L23" i="1"/>
  <c r="M23" i="1"/>
  <c r="D25" i="1"/>
  <c r="E25" i="1"/>
  <c r="F25" i="1" s="1"/>
  <c r="A27" i="1"/>
  <c r="O27" i="1" s="1"/>
  <c r="N26" i="1"/>
  <c r="B26" i="1"/>
  <c r="C26" i="1"/>
  <c r="I24" i="1"/>
  <c r="J36" i="1"/>
  <c r="H24" i="1"/>
  <c r="P23" i="1" l="1"/>
  <c r="R23" i="1"/>
  <c r="L24" i="1"/>
  <c r="M24" i="1"/>
  <c r="D26" i="1"/>
  <c r="E26" i="1"/>
  <c r="F26" i="1" s="1"/>
  <c r="A28" i="1"/>
  <c r="O28" i="1" s="1"/>
  <c r="N27" i="1"/>
  <c r="B27" i="1"/>
  <c r="C27" i="1"/>
  <c r="I25" i="1"/>
  <c r="J37" i="1"/>
  <c r="H25" i="1"/>
  <c r="P24" i="1" l="1"/>
  <c r="R24" i="1"/>
  <c r="L25" i="1"/>
  <c r="M25" i="1"/>
  <c r="D27" i="1"/>
  <c r="E27" i="1"/>
  <c r="F27" i="1" s="1"/>
  <c r="A29" i="1"/>
  <c r="O29" i="1" s="1"/>
  <c r="N28" i="1"/>
  <c r="B28" i="1"/>
  <c r="C28" i="1"/>
  <c r="I26" i="1"/>
  <c r="J38" i="1"/>
  <c r="H26" i="1"/>
  <c r="P25" i="1" l="1"/>
  <c r="R25" i="1"/>
  <c r="L26" i="1"/>
  <c r="M26" i="1"/>
  <c r="D28" i="1"/>
  <c r="E28" i="1"/>
  <c r="F28" i="1" s="1"/>
  <c r="A30" i="1"/>
  <c r="O30" i="1" s="1"/>
  <c r="N29" i="1"/>
  <c r="B29" i="1"/>
  <c r="C29" i="1"/>
  <c r="I27" i="1"/>
  <c r="J39" i="1"/>
  <c r="H27" i="1"/>
  <c r="P26" i="1" l="1"/>
  <c r="R26" i="1"/>
  <c r="L27" i="1"/>
  <c r="M27" i="1"/>
  <c r="D29" i="1"/>
  <c r="E29" i="1"/>
  <c r="F29" i="1" s="1"/>
  <c r="A31" i="1"/>
  <c r="O31" i="1" s="1"/>
  <c r="N30" i="1"/>
  <c r="B30" i="1"/>
  <c r="C30" i="1"/>
  <c r="I28" i="1"/>
  <c r="J40" i="1"/>
  <c r="H28" i="1"/>
  <c r="P27" i="1" l="1"/>
  <c r="R27" i="1"/>
  <c r="L28" i="1"/>
  <c r="M28" i="1"/>
  <c r="D30" i="1"/>
  <c r="E30" i="1"/>
  <c r="F30" i="1" s="1"/>
  <c r="A32" i="1"/>
  <c r="O32" i="1" s="1"/>
  <c r="N31" i="1"/>
  <c r="B31" i="1"/>
  <c r="C31" i="1"/>
  <c r="I29" i="1"/>
  <c r="J41" i="1"/>
  <c r="H29" i="1"/>
  <c r="P28" i="1" l="1"/>
  <c r="R28" i="1"/>
  <c r="L29" i="1"/>
  <c r="M29" i="1"/>
  <c r="D31" i="1"/>
  <c r="E31" i="1"/>
  <c r="F31" i="1" s="1"/>
  <c r="A33" i="1"/>
  <c r="O33" i="1" s="1"/>
  <c r="N32" i="1"/>
  <c r="B32" i="1"/>
  <c r="C32" i="1"/>
  <c r="I30" i="1"/>
  <c r="J42" i="1"/>
  <c r="H30" i="1"/>
  <c r="P29" i="1" l="1"/>
  <c r="R29" i="1"/>
  <c r="L30" i="1"/>
  <c r="M30" i="1"/>
  <c r="D32" i="1"/>
  <c r="E32" i="1"/>
  <c r="F32" i="1" s="1"/>
  <c r="A34" i="1"/>
  <c r="O34" i="1" s="1"/>
  <c r="N33" i="1"/>
  <c r="B33" i="1"/>
  <c r="C33" i="1"/>
  <c r="I31" i="1"/>
  <c r="J43" i="1"/>
  <c r="H31" i="1"/>
  <c r="P30" i="1" l="1"/>
  <c r="R30" i="1"/>
  <c r="L31" i="1"/>
  <c r="M31" i="1"/>
  <c r="D33" i="1"/>
  <c r="E33" i="1"/>
  <c r="F33" i="1" s="1"/>
  <c r="A35" i="1"/>
  <c r="O35" i="1" s="1"/>
  <c r="N34" i="1"/>
  <c r="B34" i="1"/>
  <c r="C34" i="1"/>
  <c r="I32" i="1"/>
  <c r="J44" i="1"/>
  <c r="H32" i="1"/>
  <c r="P31" i="1" l="1"/>
  <c r="R31" i="1"/>
  <c r="L32" i="1"/>
  <c r="M32" i="1"/>
  <c r="D34" i="1"/>
  <c r="E34" i="1"/>
  <c r="F34" i="1" s="1"/>
  <c r="A36" i="1"/>
  <c r="O36" i="1" s="1"/>
  <c r="N35" i="1"/>
  <c r="B35" i="1"/>
  <c r="C35" i="1"/>
  <c r="I33" i="1"/>
  <c r="J45" i="1"/>
  <c r="H33" i="1"/>
  <c r="P32" i="1" l="1"/>
  <c r="R32" i="1"/>
  <c r="L33" i="1"/>
  <c r="M33" i="1"/>
  <c r="D35" i="1"/>
  <c r="E35" i="1"/>
  <c r="F35" i="1" s="1"/>
  <c r="A37" i="1"/>
  <c r="O37" i="1" s="1"/>
  <c r="N36" i="1"/>
  <c r="B36" i="1"/>
  <c r="C36" i="1"/>
  <c r="I34" i="1"/>
  <c r="J46" i="1"/>
  <c r="H34" i="1"/>
  <c r="P33" i="1" l="1"/>
  <c r="R33" i="1"/>
  <c r="L34" i="1"/>
  <c r="M34" i="1"/>
  <c r="D36" i="1"/>
  <c r="E36" i="1"/>
  <c r="F36" i="1" s="1"/>
  <c r="A38" i="1"/>
  <c r="O38" i="1" s="1"/>
  <c r="N37" i="1"/>
  <c r="B37" i="1"/>
  <c r="C37" i="1"/>
  <c r="I35" i="1"/>
  <c r="J47" i="1"/>
  <c r="H35" i="1"/>
  <c r="P34" i="1" l="1"/>
  <c r="R34" i="1"/>
  <c r="L35" i="1"/>
  <c r="M35" i="1"/>
  <c r="D37" i="1"/>
  <c r="E37" i="1"/>
  <c r="F37" i="1" s="1"/>
  <c r="A39" i="1"/>
  <c r="O39" i="1" s="1"/>
  <c r="N38" i="1"/>
  <c r="B38" i="1"/>
  <c r="C38" i="1"/>
  <c r="I36" i="1"/>
  <c r="J48" i="1"/>
  <c r="H36" i="1"/>
  <c r="P35" i="1" l="1"/>
  <c r="R35" i="1"/>
  <c r="L36" i="1"/>
  <c r="M36" i="1"/>
  <c r="D38" i="1"/>
  <c r="E38" i="1"/>
  <c r="F38" i="1" s="1"/>
  <c r="A40" i="1"/>
  <c r="O40" i="1" s="1"/>
  <c r="N39" i="1"/>
  <c r="B39" i="1"/>
  <c r="C39" i="1"/>
  <c r="I37" i="1"/>
  <c r="J49" i="1"/>
  <c r="H37" i="1"/>
  <c r="P36" i="1" l="1"/>
  <c r="R36" i="1"/>
  <c r="L37" i="1"/>
  <c r="M37" i="1"/>
  <c r="D39" i="1"/>
  <c r="E39" i="1"/>
  <c r="F39" i="1" s="1"/>
  <c r="A41" i="1"/>
  <c r="O41" i="1" s="1"/>
  <c r="N40" i="1"/>
  <c r="B40" i="1"/>
  <c r="C40" i="1"/>
  <c r="I38" i="1"/>
  <c r="J50" i="1"/>
  <c r="H38" i="1"/>
  <c r="P37" i="1" l="1"/>
  <c r="R37" i="1"/>
  <c r="L38" i="1"/>
  <c r="M38" i="1"/>
  <c r="D40" i="1"/>
  <c r="E40" i="1"/>
  <c r="F40" i="1" s="1"/>
  <c r="A42" i="1"/>
  <c r="O42" i="1" s="1"/>
  <c r="N41" i="1"/>
  <c r="B41" i="1"/>
  <c r="C41" i="1"/>
  <c r="I39" i="1"/>
  <c r="J51" i="1"/>
  <c r="H39" i="1"/>
  <c r="P38" i="1" l="1"/>
  <c r="R38" i="1"/>
  <c r="L39" i="1"/>
  <c r="M39" i="1"/>
  <c r="D41" i="1"/>
  <c r="E41" i="1"/>
  <c r="F41" i="1" s="1"/>
  <c r="A43" i="1"/>
  <c r="O43" i="1" s="1"/>
  <c r="N42" i="1"/>
  <c r="B42" i="1"/>
  <c r="C42" i="1"/>
  <c r="I40" i="1"/>
  <c r="J52" i="1"/>
  <c r="H40" i="1"/>
  <c r="P39" i="1" l="1"/>
  <c r="R39" i="1"/>
  <c r="L40" i="1"/>
  <c r="M40" i="1"/>
  <c r="D42" i="1"/>
  <c r="E42" i="1"/>
  <c r="F42" i="1" s="1"/>
  <c r="A44" i="1"/>
  <c r="O44" i="1" s="1"/>
  <c r="N43" i="1"/>
  <c r="B43" i="1"/>
  <c r="C43" i="1"/>
  <c r="I41" i="1"/>
  <c r="J53" i="1"/>
  <c r="H41" i="1"/>
  <c r="P40" i="1" l="1"/>
  <c r="R40" i="1"/>
  <c r="L41" i="1"/>
  <c r="M41" i="1"/>
  <c r="D43" i="1"/>
  <c r="E43" i="1"/>
  <c r="F43" i="1" s="1"/>
  <c r="A45" i="1"/>
  <c r="O45" i="1" s="1"/>
  <c r="N44" i="1"/>
  <c r="B44" i="1"/>
  <c r="C44" i="1"/>
  <c r="I42" i="1"/>
  <c r="J54" i="1"/>
  <c r="H42" i="1"/>
  <c r="P41" i="1" l="1"/>
  <c r="R41" i="1"/>
  <c r="L42" i="1"/>
  <c r="M42" i="1"/>
  <c r="D44" i="1"/>
  <c r="E44" i="1"/>
  <c r="F44" i="1" s="1"/>
  <c r="A46" i="1"/>
  <c r="O46" i="1" s="1"/>
  <c r="N45" i="1"/>
  <c r="B45" i="1"/>
  <c r="C45" i="1"/>
  <c r="I43" i="1"/>
  <c r="J55" i="1"/>
  <c r="H43" i="1"/>
  <c r="P42" i="1" l="1"/>
  <c r="R42" i="1"/>
  <c r="L43" i="1"/>
  <c r="M43" i="1"/>
  <c r="D45" i="1"/>
  <c r="E45" i="1"/>
  <c r="F45" i="1" s="1"/>
  <c r="A47" i="1"/>
  <c r="O47" i="1" s="1"/>
  <c r="N46" i="1"/>
  <c r="B46" i="1"/>
  <c r="C46" i="1"/>
  <c r="I44" i="1"/>
  <c r="J56" i="1"/>
  <c r="H44" i="1"/>
  <c r="P43" i="1" l="1"/>
  <c r="R43" i="1"/>
  <c r="L44" i="1"/>
  <c r="M44" i="1"/>
  <c r="D46" i="1"/>
  <c r="E46" i="1"/>
  <c r="F46" i="1" s="1"/>
  <c r="A48" i="1"/>
  <c r="O48" i="1" s="1"/>
  <c r="N47" i="1"/>
  <c r="B47" i="1"/>
  <c r="C47" i="1"/>
  <c r="I45" i="1"/>
  <c r="J57" i="1"/>
  <c r="H45" i="1"/>
  <c r="P44" i="1" l="1"/>
  <c r="R44" i="1"/>
  <c r="L45" i="1"/>
  <c r="M45" i="1"/>
  <c r="D47" i="1"/>
  <c r="E47" i="1"/>
  <c r="F47" i="1" s="1"/>
  <c r="A49" i="1"/>
  <c r="O49" i="1" s="1"/>
  <c r="N48" i="1"/>
  <c r="B48" i="1"/>
  <c r="C48" i="1"/>
  <c r="I46" i="1"/>
  <c r="J58" i="1"/>
  <c r="H46" i="1"/>
  <c r="P45" i="1" l="1"/>
  <c r="R45" i="1"/>
  <c r="L46" i="1"/>
  <c r="M46" i="1"/>
  <c r="D48" i="1"/>
  <c r="E48" i="1"/>
  <c r="F48" i="1" s="1"/>
  <c r="A50" i="1"/>
  <c r="O50" i="1" s="1"/>
  <c r="N49" i="1"/>
  <c r="B49" i="1"/>
  <c r="C49" i="1"/>
  <c r="I47" i="1"/>
  <c r="J59" i="1"/>
  <c r="H47" i="1"/>
  <c r="P46" i="1" l="1"/>
  <c r="R46" i="1"/>
  <c r="L47" i="1"/>
  <c r="M47" i="1"/>
  <c r="D49" i="1"/>
  <c r="E49" i="1"/>
  <c r="F49" i="1" s="1"/>
  <c r="A51" i="1"/>
  <c r="O51" i="1" s="1"/>
  <c r="N50" i="1"/>
  <c r="B50" i="1"/>
  <c r="C50" i="1"/>
  <c r="I48" i="1"/>
  <c r="J60" i="1"/>
  <c r="H48" i="1"/>
  <c r="P47" i="1" l="1"/>
  <c r="R47" i="1"/>
  <c r="L48" i="1"/>
  <c r="M48" i="1"/>
  <c r="D50" i="1"/>
  <c r="E50" i="1"/>
  <c r="F50" i="1" s="1"/>
  <c r="A52" i="1"/>
  <c r="O52" i="1" s="1"/>
  <c r="N51" i="1"/>
  <c r="B51" i="1"/>
  <c r="C51" i="1"/>
  <c r="I49" i="1"/>
  <c r="J61" i="1"/>
  <c r="H49" i="1"/>
  <c r="P48" i="1" l="1"/>
  <c r="R48" i="1"/>
  <c r="L49" i="1"/>
  <c r="M49" i="1"/>
  <c r="D51" i="1"/>
  <c r="E51" i="1"/>
  <c r="F51" i="1" s="1"/>
  <c r="A53" i="1"/>
  <c r="O53" i="1" s="1"/>
  <c r="N52" i="1"/>
  <c r="B52" i="1"/>
  <c r="C52" i="1"/>
  <c r="I50" i="1"/>
  <c r="J62" i="1"/>
  <c r="H50" i="1"/>
  <c r="P49" i="1" l="1"/>
  <c r="R49" i="1"/>
  <c r="L50" i="1"/>
  <c r="M50" i="1"/>
  <c r="D52" i="1"/>
  <c r="E52" i="1"/>
  <c r="F52" i="1" s="1"/>
  <c r="A54" i="1"/>
  <c r="O54" i="1" s="1"/>
  <c r="N53" i="1"/>
  <c r="B53" i="1"/>
  <c r="C53" i="1"/>
  <c r="I51" i="1"/>
  <c r="J63" i="1"/>
  <c r="H51" i="1"/>
  <c r="P50" i="1" l="1"/>
  <c r="R50" i="1"/>
  <c r="L51" i="1"/>
  <c r="M51" i="1"/>
  <c r="D53" i="1"/>
  <c r="E53" i="1"/>
  <c r="F53" i="1" s="1"/>
  <c r="A55" i="1"/>
  <c r="O55" i="1" s="1"/>
  <c r="N54" i="1"/>
  <c r="B54" i="1"/>
  <c r="C54" i="1"/>
  <c r="I52" i="1"/>
  <c r="J64" i="1"/>
  <c r="H52" i="1"/>
  <c r="P51" i="1" l="1"/>
  <c r="R51" i="1"/>
  <c r="L52" i="1"/>
  <c r="M52" i="1"/>
  <c r="D54" i="1"/>
  <c r="E54" i="1"/>
  <c r="F54" i="1" s="1"/>
  <c r="A56" i="1"/>
  <c r="O56" i="1" s="1"/>
  <c r="N55" i="1"/>
  <c r="B55" i="1"/>
  <c r="C55" i="1"/>
  <c r="I53" i="1"/>
  <c r="J65" i="1"/>
  <c r="H53" i="1"/>
  <c r="P52" i="1" l="1"/>
  <c r="R52" i="1"/>
  <c r="L53" i="1"/>
  <c r="M53" i="1"/>
  <c r="D55" i="1"/>
  <c r="E55" i="1"/>
  <c r="F55" i="1" s="1"/>
  <c r="A57" i="1"/>
  <c r="O57" i="1" s="1"/>
  <c r="N56" i="1"/>
  <c r="B56" i="1"/>
  <c r="C56" i="1"/>
  <c r="I54" i="1"/>
  <c r="J66" i="1"/>
  <c r="H54" i="1"/>
  <c r="P53" i="1" l="1"/>
  <c r="R53" i="1"/>
  <c r="L54" i="1"/>
  <c r="M54" i="1"/>
  <c r="D56" i="1"/>
  <c r="E56" i="1"/>
  <c r="F56" i="1" s="1"/>
  <c r="A58" i="1"/>
  <c r="O58" i="1" s="1"/>
  <c r="N57" i="1"/>
  <c r="B57" i="1"/>
  <c r="C57" i="1"/>
  <c r="I55" i="1"/>
  <c r="J67" i="1"/>
  <c r="H55" i="1"/>
  <c r="P54" i="1" l="1"/>
  <c r="R54" i="1"/>
  <c r="L55" i="1"/>
  <c r="M55" i="1"/>
  <c r="D57" i="1"/>
  <c r="E57" i="1"/>
  <c r="F57" i="1" s="1"/>
  <c r="A59" i="1"/>
  <c r="O59" i="1" s="1"/>
  <c r="N58" i="1"/>
  <c r="B58" i="1"/>
  <c r="C58" i="1"/>
  <c r="I56" i="1"/>
  <c r="J68" i="1"/>
  <c r="H56" i="1"/>
  <c r="P55" i="1" l="1"/>
  <c r="R55" i="1"/>
  <c r="L56" i="1"/>
  <c r="M56" i="1"/>
  <c r="D58" i="1"/>
  <c r="E58" i="1"/>
  <c r="F58" i="1" s="1"/>
  <c r="A60" i="1"/>
  <c r="O60" i="1" s="1"/>
  <c r="N59" i="1"/>
  <c r="B59" i="1"/>
  <c r="C59" i="1"/>
  <c r="I57" i="1"/>
  <c r="J69" i="1"/>
  <c r="H57" i="1"/>
  <c r="P56" i="1" l="1"/>
  <c r="R56" i="1"/>
  <c r="L57" i="1"/>
  <c r="M57" i="1"/>
  <c r="D59" i="1"/>
  <c r="E59" i="1"/>
  <c r="F59" i="1" s="1"/>
  <c r="A61" i="1"/>
  <c r="O61" i="1" s="1"/>
  <c r="N60" i="1"/>
  <c r="B60" i="1"/>
  <c r="C60" i="1"/>
  <c r="I58" i="1"/>
  <c r="J70" i="1"/>
  <c r="H58" i="1"/>
  <c r="P57" i="1" l="1"/>
  <c r="R57" i="1"/>
  <c r="L58" i="1"/>
  <c r="M58" i="1"/>
  <c r="D60" i="1"/>
  <c r="E60" i="1"/>
  <c r="F60" i="1" s="1"/>
  <c r="A62" i="1"/>
  <c r="O62" i="1" s="1"/>
  <c r="N61" i="1"/>
  <c r="B61" i="1"/>
  <c r="C61" i="1"/>
  <c r="I59" i="1"/>
  <c r="J71" i="1"/>
  <c r="H59" i="1"/>
  <c r="P58" i="1" l="1"/>
  <c r="R58" i="1"/>
  <c r="L59" i="1"/>
  <c r="M59" i="1"/>
  <c r="D61" i="1"/>
  <c r="E61" i="1"/>
  <c r="F61" i="1" s="1"/>
  <c r="A63" i="1"/>
  <c r="O63" i="1" s="1"/>
  <c r="N62" i="1"/>
  <c r="B62" i="1"/>
  <c r="C62" i="1"/>
  <c r="I60" i="1"/>
  <c r="J72" i="1"/>
  <c r="H60" i="1"/>
  <c r="P59" i="1" l="1"/>
  <c r="R59" i="1"/>
  <c r="L60" i="1"/>
  <c r="M60" i="1"/>
  <c r="D62" i="1"/>
  <c r="E62" i="1"/>
  <c r="F62" i="1" s="1"/>
  <c r="A64" i="1"/>
  <c r="O64" i="1" s="1"/>
  <c r="N63" i="1"/>
  <c r="B63" i="1"/>
  <c r="C63" i="1"/>
  <c r="I61" i="1"/>
  <c r="J73" i="1"/>
  <c r="H61" i="1"/>
  <c r="P60" i="1" l="1"/>
  <c r="R60" i="1"/>
  <c r="L61" i="1"/>
  <c r="M61" i="1"/>
  <c r="D63" i="1"/>
  <c r="E63" i="1"/>
  <c r="F63" i="1" s="1"/>
  <c r="A65" i="1"/>
  <c r="O65" i="1" s="1"/>
  <c r="N64" i="1"/>
  <c r="B64" i="1"/>
  <c r="C64" i="1"/>
  <c r="I62" i="1"/>
  <c r="J74" i="1"/>
  <c r="H62" i="1"/>
  <c r="P61" i="1" l="1"/>
  <c r="R61" i="1"/>
  <c r="L62" i="1"/>
  <c r="M62" i="1"/>
  <c r="D64" i="1"/>
  <c r="E64" i="1"/>
  <c r="F64" i="1" s="1"/>
  <c r="A66" i="1"/>
  <c r="O66" i="1" s="1"/>
  <c r="N65" i="1"/>
  <c r="B65" i="1"/>
  <c r="C65" i="1"/>
  <c r="I63" i="1"/>
  <c r="J75" i="1"/>
  <c r="H63" i="1"/>
  <c r="P62" i="1" l="1"/>
  <c r="R62" i="1"/>
  <c r="L63" i="1"/>
  <c r="M63" i="1"/>
  <c r="D65" i="1"/>
  <c r="E65" i="1"/>
  <c r="F65" i="1" s="1"/>
  <c r="A67" i="1"/>
  <c r="O67" i="1" s="1"/>
  <c r="N66" i="1"/>
  <c r="B66" i="1"/>
  <c r="C66" i="1"/>
  <c r="I64" i="1"/>
  <c r="J76" i="1"/>
  <c r="H64" i="1"/>
  <c r="P63" i="1" l="1"/>
  <c r="R63" i="1"/>
  <c r="L64" i="1"/>
  <c r="M64" i="1"/>
  <c r="D66" i="1"/>
  <c r="E66" i="1"/>
  <c r="F66" i="1" s="1"/>
  <c r="A68" i="1"/>
  <c r="O68" i="1" s="1"/>
  <c r="N67" i="1"/>
  <c r="B67" i="1"/>
  <c r="C67" i="1"/>
  <c r="I65" i="1"/>
  <c r="J77" i="1"/>
  <c r="H65" i="1"/>
  <c r="P64" i="1" l="1"/>
  <c r="R64" i="1"/>
  <c r="L65" i="1"/>
  <c r="M65" i="1"/>
  <c r="D67" i="1"/>
  <c r="E67" i="1"/>
  <c r="F67" i="1" s="1"/>
  <c r="A69" i="1"/>
  <c r="O69" i="1" s="1"/>
  <c r="N68" i="1"/>
  <c r="B68" i="1"/>
  <c r="C68" i="1"/>
  <c r="I66" i="1"/>
  <c r="J78" i="1"/>
  <c r="H66" i="1"/>
  <c r="P65" i="1" l="1"/>
  <c r="R65" i="1"/>
  <c r="L66" i="1"/>
  <c r="M66" i="1"/>
  <c r="D68" i="1"/>
  <c r="E68" i="1"/>
  <c r="F68" i="1" s="1"/>
  <c r="A70" i="1"/>
  <c r="O70" i="1" s="1"/>
  <c r="N69" i="1"/>
  <c r="B69" i="1"/>
  <c r="C69" i="1"/>
  <c r="I67" i="1"/>
  <c r="J79" i="1"/>
  <c r="H67" i="1"/>
  <c r="P66" i="1" l="1"/>
  <c r="R66" i="1"/>
  <c r="L67" i="1"/>
  <c r="M67" i="1"/>
  <c r="D69" i="1"/>
  <c r="E69" i="1"/>
  <c r="F69" i="1" s="1"/>
  <c r="A71" i="1"/>
  <c r="O71" i="1" s="1"/>
  <c r="N70" i="1"/>
  <c r="B70" i="1"/>
  <c r="C70" i="1"/>
  <c r="I68" i="1"/>
  <c r="J80" i="1"/>
  <c r="H68" i="1"/>
  <c r="P67" i="1" l="1"/>
  <c r="R67" i="1"/>
  <c r="L68" i="1"/>
  <c r="M68" i="1"/>
  <c r="D70" i="1"/>
  <c r="E70" i="1"/>
  <c r="F70" i="1" s="1"/>
  <c r="A72" i="1"/>
  <c r="O72" i="1" s="1"/>
  <c r="N71" i="1"/>
  <c r="B71" i="1"/>
  <c r="C71" i="1"/>
  <c r="I69" i="1"/>
  <c r="J81" i="1"/>
  <c r="H69" i="1"/>
  <c r="P68" i="1" l="1"/>
  <c r="R68" i="1"/>
  <c r="L69" i="1"/>
  <c r="M69" i="1"/>
  <c r="D71" i="1"/>
  <c r="E71" i="1"/>
  <c r="F71" i="1" s="1"/>
  <c r="A73" i="1"/>
  <c r="O73" i="1" s="1"/>
  <c r="N72" i="1"/>
  <c r="B72" i="1"/>
  <c r="C72" i="1"/>
  <c r="I70" i="1"/>
  <c r="J82" i="1"/>
  <c r="H70" i="1"/>
  <c r="P69" i="1" l="1"/>
  <c r="R69" i="1"/>
  <c r="L70" i="1"/>
  <c r="M70" i="1"/>
  <c r="D72" i="1"/>
  <c r="E72" i="1"/>
  <c r="F72" i="1" s="1"/>
  <c r="A74" i="1"/>
  <c r="O74" i="1" s="1"/>
  <c r="N73" i="1"/>
  <c r="B73" i="1"/>
  <c r="C73" i="1"/>
  <c r="I71" i="1"/>
  <c r="J83" i="1"/>
  <c r="H71" i="1"/>
  <c r="P70" i="1" l="1"/>
  <c r="R70" i="1"/>
  <c r="L71" i="1"/>
  <c r="M71" i="1"/>
  <c r="D73" i="1"/>
  <c r="E73" i="1"/>
  <c r="F73" i="1" s="1"/>
  <c r="A75" i="1"/>
  <c r="O75" i="1" s="1"/>
  <c r="N74" i="1"/>
  <c r="B74" i="1"/>
  <c r="C74" i="1"/>
  <c r="I72" i="1"/>
  <c r="J84" i="1"/>
  <c r="H72" i="1"/>
  <c r="P71" i="1" l="1"/>
  <c r="R71" i="1"/>
  <c r="L72" i="1"/>
  <c r="M72" i="1"/>
  <c r="D74" i="1"/>
  <c r="E74" i="1"/>
  <c r="F74" i="1" s="1"/>
  <c r="A76" i="1"/>
  <c r="O76" i="1" s="1"/>
  <c r="N75" i="1"/>
  <c r="B75" i="1"/>
  <c r="C75" i="1"/>
  <c r="I73" i="1"/>
  <c r="J85" i="1"/>
  <c r="H73" i="1"/>
  <c r="P72" i="1" l="1"/>
  <c r="R72" i="1"/>
  <c r="L73" i="1"/>
  <c r="M73" i="1"/>
  <c r="D75" i="1"/>
  <c r="E75" i="1"/>
  <c r="F75" i="1" s="1"/>
  <c r="A77" i="1"/>
  <c r="O77" i="1" s="1"/>
  <c r="N76" i="1"/>
  <c r="B76" i="1"/>
  <c r="C76" i="1"/>
  <c r="I74" i="1"/>
  <c r="J86" i="1"/>
  <c r="H74" i="1"/>
  <c r="P73" i="1" l="1"/>
  <c r="R73" i="1"/>
  <c r="L74" i="1"/>
  <c r="M74" i="1"/>
  <c r="D76" i="1"/>
  <c r="E76" i="1"/>
  <c r="F76" i="1" s="1"/>
  <c r="A78" i="1"/>
  <c r="O78" i="1" s="1"/>
  <c r="N77" i="1"/>
  <c r="B77" i="1"/>
  <c r="C77" i="1"/>
  <c r="I75" i="1"/>
  <c r="J87" i="1"/>
  <c r="H75" i="1"/>
  <c r="P74" i="1" l="1"/>
  <c r="R74" i="1"/>
  <c r="L75" i="1"/>
  <c r="M75" i="1"/>
  <c r="D77" i="1"/>
  <c r="E77" i="1"/>
  <c r="F77" i="1" s="1"/>
  <c r="A79" i="1"/>
  <c r="O79" i="1" s="1"/>
  <c r="N78" i="1"/>
  <c r="B78" i="1"/>
  <c r="C78" i="1"/>
  <c r="I76" i="1"/>
  <c r="J88" i="1"/>
  <c r="H76" i="1"/>
  <c r="P75" i="1" l="1"/>
  <c r="R75" i="1"/>
  <c r="L76" i="1"/>
  <c r="M76" i="1"/>
  <c r="D78" i="1"/>
  <c r="E78" i="1"/>
  <c r="F78" i="1" s="1"/>
  <c r="A80" i="1"/>
  <c r="O80" i="1" s="1"/>
  <c r="N79" i="1"/>
  <c r="B79" i="1"/>
  <c r="C79" i="1"/>
  <c r="I77" i="1"/>
  <c r="J89" i="1"/>
  <c r="H77" i="1"/>
  <c r="P76" i="1" l="1"/>
  <c r="R76" i="1"/>
  <c r="L77" i="1"/>
  <c r="M77" i="1"/>
  <c r="D79" i="1"/>
  <c r="E79" i="1"/>
  <c r="F79" i="1" s="1"/>
  <c r="A81" i="1"/>
  <c r="O81" i="1" s="1"/>
  <c r="N80" i="1"/>
  <c r="B80" i="1"/>
  <c r="C80" i="1"/>
  <c r="I78" i="1"/>
  <c r="J90" i="1"/>
  <c r="H78" i="1"/>
  <c r="P77" i="1" l="1"/>
  <c r="R77" i="1"/>
  <c r="L78" i="1"/>
  <c r="M78" i="1"/>
  <c r="D80" i="1"/>
  <c r="E80" i="1"/>
  <c r="F80" i="1" s="1"/>
  <c r="A82" i="1"/>
  <c r="O82" i="1" s="1"/>
  <c r="N81" i="1"/>
  <c r="B81" i="1"/>
  <c r="C81" i="1"/>
  <c r="I79" i="1"/>
  <c r="J91" i="1"/>
  <c r="H79" i="1"/>
  <c r="P78" i="1" l="1"/>
  <c r="R78" i="1"/>
  <c r="L79" i="1"/>
  <c r="M79" i="1"/>
  <c r="D81" i="1"/>
  <c r="E81" i="1"/>
  <c r="F81" i="1" s="1"/>
  <c r="A83" i="1"/>
  <c r="O83" i="1" s="1"/>
  <c r="N82" i="1"/>
  <c r="B82" i="1"/>
  <c r="C82" i="1"/>
  <c r="I80" i="1"/>
  <c r="J92" i="1"/>
  <c r="H80" i="1"/>
  <c r="P79" i="1" l="1"/>
  <c r="R79" i="1"/>
  <c r="L80" i="1"/>
  <c r="M80" i="1"/>
  <c r="D82" i="1"/>
  <c r="E82" i="1"/>
  <c r="F82" i="1" s="1"/>
  <c r="A84" i="1"/>
  <c r="O84" i="1" s="1"/>
  <c r="N83" i="1"/>
  <c r="B83" i="1"/>
  <c r="C83" i="1"/>
  <c r="I81" i="1"/>
  <c r="J93" i="1"/>
  <c r="H81" i="1"/>
  <c r="P80" i="1" l="1"/>
  <c r="R80" i="1"/>
  <c r="L81" i="1"/>
  <c r="M81" i="1"/>
  <c r="D83" i="1"/>
  <c r="E83" i="1"/>
  <c r="F83" i="1" s="1"/>
  <c r="A85" i="1"/>
  <c r="O85" i="1" s="1"/>
  <c r="N84" i="1"/>
  <c r="B84" i="1"/>
  <c r="C84" i="1"/>
  <c r="I82" i="1"/>
  <c r="J94" i="1"/>
  <c r="H82" i="1"/>
  <c r="P81" i="1" l="1"/>
  <c r="R81" i="1"/>
  <c r="L82" i="1"/>
  <c r="M82" i="1"/>
  <c r="D84" i="1"/>
  <c r="E84" i="1"/>
  <c r="F84" i="1" s="1"/>
  <c r="A86" i="1"/>
  <c r="O86" i="1" s="1"/>
  <c r="N85" i="1"/>
  <c r="B85" i="1"/>
  <c r="C85" i="1"/>
  <c r="I83" i="1"/>
  <c r="J95" i="1"/>
  <c r="H83" i="1"/>
  <c r="P82" i="1" l="1"/>
  <c r="R82" i="1"/>
  <c r="L83" i="1"/>
  <c r="M83" i="1"/>
  <c r="D85" i="1"/>
  <c r="E85" i="1"/>
  <c r="F85" i="1" s="1"/>
  <c r="A87" i="1"/>
  <c r="O87" i="1" s="1"/>
  <c r="N86" i="1"/>
  <c r="B86" i="1"/>
  <c r="C86" i="1"/>
  <c r="I84" i="1"/>
  <c r="J96" i="1"/>
  <c r="H84" i="1"/>
  <c r="P83" i="1" l="1"/>
  <c r="R83" i="1"/>
  <c r="L84" i="1"/>
  <c r="M84" i="1"/>
  <c r="D86" i="1"/>
  <c r="E86" i="1"/>
  <c r="F86" i="1" s="1"/>
  <c r="A88" i="1"/>
  <c r="O88" i="1" s="1"/>
  <c r="N87" i="1"/>
  <c r="B87" i="1"/>
  <c r="C87" i="1"/>
  <c r="I85" i="1"/>
  <c r="J97" i="1"/>
  <c r="H85" i="1"/>
  <c r="P84" i="1" l="1"/>
  <c r="R84" i="1"/>
  <c r="L85" i="1"/>
  <c r="M85" i="1"/>
  <c r="D87" i="1"/>
  <c r="E87" i="1"/>
  <c r="F87" i="1" s="1"/>
  <c r="A89" i="1"/>
  <c r="O89" i="1" s="1"/>
  <c r="N88" i="1"/>
  <c r="B88" i="1"/>
  <c r="C88" i="1"/>
  <c r="I86" i="1"/>
  <c r="J98" i="1"/>
  <c r="H86" i="1"/>
  <c r="P85" i="1" l="1"/>
  <c r="R85" i="1"/>
  <c r="L86" i="1"/>
  <c r="M86" i="1"/>
  <c r="D88" i="1"/>
  <c r="E88" i="1"/>
  <c r="F88" i="1" s="1"/>
  <c r="A90" i="1"/>
  <c r="O90" i="1" s="1"/>
  <c r="N89" i="1"/>
  <c r="B89" i="1"/>
  <c r="C89" i="1"/>
  <c r="I87" i="1"/>
  <c r="J99" i="1"/>
  <c r="H87" i="1"/>
  <c r="P86" i="1" l="1"/>
  <c r="R86" i="1"/>
  <c r="L87" i="1"/>
  <c r="M87" i="1"/>
  <c r="D89" i="1"/>
  <c r="E89" i="1"/>
  <c r="F89" i="1" s="1"/>
  <c r="A91" i="1"/>
  <c r="O91" i="1" s="1"/>
  <c r="N90" i="1"/>
  <c r="B90" i="1"/>
  <c r="C90" i="1"/>
  <c r="I88" i="1"/>
  <c r="J100" i="1"/>
  <c r="H88" i="1"/>
  <c r="P87" i="1" l="1"/>
  <c r="R87" i="1"/>
  <c r="L88" i="1"/>
  <c r="M88" i="1"/>
  <c r="D90" i="1"/>
  <c r="E90" i="1"/>
  <c r="F90" i="1" s="1"/>
  <c r="A92" i="1"/>
  <c r="O92" i="1" s="1"/>
  <c r="N91" i="1"/>
  <c r="B91" i="1"/>
  <c r="C91" i="1"/>
  <c r="I89" i="1"/>
  <c r="J101" i="1"/>
  <c r="H89" i="1"/>
  <c r="P88" i="1" l="1"/>
  <c r="R88" i="1"/>
  <c r="L89" i="1"/>
  <c r="M89" i="1"/>
  <c r="D91" i="1"/>
  <c r="E91" i="1"/>
  <c r="F91" i="1" s="1"/>
  <c r="A93" i="1"/>
  <c r="O93" i="1" s="1"/>
  <c r="N92" i="1"/>
  <c r="B92" i="1"/>
  <c r="C92" i="1"/>
  <c r="I90" i="1"/>
  <c r="J102" i="1"/>
  <c r="H90" i="1"/>
  <c r="P89" i="1" l="1"/>
  <c r="R89" i="1"/>
  <c r="L90" i="1"/>
  <c r="M90" i="1"/>
  <c r="D92" i="1"/>
  <c r="E92" i="1"/>
  <c r="F92" i="1" s="1"/>
  <c r="A94" i="1"/>
  <c r="O94" i="1" s="1"/>
  <c r="N93" i="1"/>
  <c r="B93" i="1"/>
  <c r="C93" i="1"/>
  <c r="I91" i="1"/>
  <c r="J103" i="1"/>
  <c r="H91" i="1"/>
  <c r="P90" i="1" l="1"/>
  <c r="R90" i="1"/>
  <c r="L91" i="1"/>
  <c r="M91" i="1"/>
  <c r="D93" i="1"/>
  <c r="E93" i="1"/>
  <c r="F93" i="1" s="1"/>
  <c r="A95" i="1"/>
  <c r="O95" i="1" s="1"/>
  <c r="N94" i="1"/>
  <c r="B94" i="1"/>
  <c r="C94" i="1"/>
  <c r="I92" i="1"/>
  <c r="J104" i="1"/>
  <c r="H92" i="1"/>
  <c r="P91" i="1" l="1"/>
  <c r="R91" i="1"/>
  <c r="L92" i="1"/>
  <c r="M92" i="1"/>
  <c r="D94" i="1"/>
  <c r="E94" i="1"/>
  <c r="F94" i="1" s="1"/>
  <c r="A96" i="1"/>
  <c r="O96" i="1" s="1"/>
  <c r="N95" i="1"/>
  <c r="B95" i="1"/>
  <c r="C95" i="1"/>
  <c r="I93" i="1"/>
  <c r="J105" i="1"/>
  <c r="H93" i="1"/>
  <c r="P92" i="1" l="1"/>
  <c r="R92" i="1"/>
  <c r="L93" i="1"/>
  <c r="M93" i="1"/>
  <c r="D95" i="1"/>
  <c r="E95" i="1"/>
  <c r="F95" i="1" s="1"/>
  <c r="A97" i="1"/>
  <c r="O97" i="1" s="1"/>
  <c r="N96" i="1"/>
  <c r="B96" i="1"/>
  <c r="C96" i="1"/>
  <c r="I94" i="1"/>
  <c r="H94" i="1"/>
  <c r="P93" i="1" l="1"/>
  <c r="R93" i="1"/>
  <c r="M94" i="1"/>
  <c r="L94" i="1"/>
  <c r="D96" i="1"/>
  <c r="E96" i="1"/>
  <c r="F96" i="1" s="1"/>
  <c r="A98" i="1"/>
  <c r="O98" i="1" s="1"/>
  <c r="N97" i="1"/>
  <c r="B97" i="1"/>
  <c r="C97" i="1"/>
  <c r="I95" i="1"/>
  <c r="H95" i="1"/>
  <c r="P94" i="1" l="1"/>
  <c r="R94" i="1"/>
  <c r="M95" i="1"/>
  <c r="L95" i="1"/>
  <c r="D97" i="1"/>
  <c r="E97" i="1"/>
  <c r="F97" i="1" s="1"/>
  <c r="A99" i="1"/>
  <c r="O99" i="1" s="1"/>
  <c r="N98" i="1"/>
  <c r="B98" i="1"/>
  <c r="C98" i="1"/>
  <c r="I96" i="1"/>
  <c r="H96" i="1"/>
  <c r="P95" i="1" l="1"/>
  <c r="R95" i="1"/>
  <c r="M96" i="1"/>
  <c r="L96" i="1"/>
  <c r="D98" i="1"/>
  <c r="E98" i="1"/>
  <c r="F98" i="1" s="1"/>
  <c r="A100" i="1"/>
  <c r="O100" i="1" s="1"/>
  <c r="N99" i="1"/>
  <c r="B99" i="1"/>
  <c r="C99" i="1"/>
  <c r="I97" i="1"/>
  <c r="H97" i="1"/>
  <c r="P96" i="1" l="1"/>
  <c r="R96" i="1"/>
  <c r="M97" i="1"/>
  <c r="L97" i="1"/>
  <c r="D99" i="1"/>
  <c r="E99" i="1"/>
  <c r="F99" i="1" s="1"/>
  <c r="A101" i="1"/>
  <c r="O101" i="1" s="1"/>
  <c r="N100" i="1"/>
  <c r="B100" i="1"/>
  <c r="C100" i="1"/>
  <c r="I98" i="1"/>
  <c r="H98" i="1"/>
  <c r="P97" i="1" l="1"/>
  <c r="R97" i="1"/>
  <c r="M98" i="1"/>
  <c r="L98" i="1"/>
  <c r="D100" i="1"/>
  <c r="E100" i="1"/>
  <c r="F100" i="1" s="1"/>
  <c r="A102" i="1"/>
  <c r="O102" i="1" s="1"/>
  <c r="N101" i="1"/>
  <c r="B101" i="1"/>
  <c r="C101" i="1"/>
  <c r="I99" i="1"/>
  <c r="H99" i="1"/>
  <c r="P98" i="1" l="1"/>
  <c r="R98" i="1"/>
  <c r="M99" i="1"/>
  <c r="L99" i="1"/>
  <c r="D101" i="1"/>
  <c r="E101" i="1"/>
  <c r="F101" i="1" s="1"/>
  <c r="A103" i="1"/>
  <c r="O103" i="1" s="1"/>
  <c r="N102" i="1"/>
  <c r="B102" i="1"/>
  <c r="C102" i="1"/>
  <c r="I100" i="1"/>
  <c r="H100" i="1"/>
  <c r="P99" i="1" l="1"/>
  <c r="R99" i="1"/>
  <c r="M100" i="1"/>
  <c r="L100" i="1"/>
  <c r="D102" i="1"/>
  <c r="E102" i="1"/>
  <c r="F102" i="1" s="1"/>
  <c r="A104" i="1"/>
  <c r="O104" i="1" s="1"/>
  <c r="N103" i="1"/>
  <c r="B103" i="1"/>
  <c r="C103" i="1"/>
  <c r="I101" i="1"/>
  <c r="H101" i="1"/>
  <c r="P100" i="1" l="1"/>
  <c r="R100" i="1"/>
  <c r="M101" i="1"/>
  <c r="L101" i="1"/>
  <c r="D103" i="1"/>
  <c r="E103" i="1"/>
  <c r="F103" i="1" s="1"/>
  <c r="A105" i="1"/>
  <c r="O105" i="1" s="1"/>
  <c r="N104" i="1"/>
  <c r="B104" i="1"/>
  <c r="C104" i="1"/>
  <c r="I102" i="1"/>
  <c r="H102" i="1"/>
  <c r="P101" i="1" l="1"/>
  <c r="R101" i="1"/>
  <c r="M102" i="1"/>
  <c r="L102" i="1"/>
  <c r="D104" i="1"/>
  <c r="E104" i="1"/>
  <c r="F104" i="1" s="1"/>
  <c r="N105" i="1"/>
  <c r="B105" i="1"/>
  <c r="C105" i="1"/>
  <c r="I103" i="1"/>
  <c r="H103" i="1"/>
  <c r="P102" i="1" l="1"/>
  <c r="R102" i="1"/>
  <c r="M103" i="1"/>
  <c r="L103" i="1"/>
  <c r="D105" i="1"/>
  <c r="E105" i="1"/>
  <c r="F105" i="1" s="1"/>
  <c r="I104" i="1"/>
  <c r="H104" i="1"/>
  <c r="P103" i="1" l="1"/>
  <c r="R103" i="1"/>
  <c r="M104" i="1"/>
  <c r="L104" i="1"/>
  <c r="I105" i="1"/>
  <c r="H105" i="1"/>
  <c r="P104" i="1" l="1"/>
  <c r="R104" i="1"/>
  <c r="M105" i="1"/>
  <c r="L105" i="1"/>
  <c r="P105" i="1" l="1"/>
  <c r="R105" i="1"/>
</calcChain>
</file>

<file path=xl/sharedStrings.xml><?xml version="1.0" encoding="utf-8"?>
<sst xmlns="http://schemas.openxmlformats.org/spreadsheetml/2006/main" count="19" uniqueCount="19">
  <si>
    <t>Date</t>
  </si>
  <si>
    <t>Day</t>
  </si>
  <si>
    <t>Truck Arrival</t>
  </si>
  <si>
    <t>Trays Purchased</t>
  </si>
  <si>
    <t>Cost/Tray</t>
  </si>
  <si>
    <t>Sell Price</t>
  </si>
  <si>
    <t>Profit/Tray</t>
  </si>
  <si>
    <t>Total Cost</t>
  </si>
  <si>
    <t>Sold</t>
  </si>
  <si>
    <t>Remaining</t>
  </si>
  <si>
    <t>Damaged</t>
  </si>
  <si>
    <t>Revenue</t>
  </si>
  <si>
    <t>Profit</t>
  </si>
  <si>
    <t>Month Number</t>
  </si>
  <si>
    <t>Quarter</t>
  </si>
  <si>
    <t>Business Status</t>
  </si>
  <si>
    <t>Month</t>
  </si>
  <si>
    <t>Profit Margin</t>
  </si>
  <si>
    <t>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</si>
</sst>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0"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19" formatCode="m/d/yyyy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933C7-9C17-4A73-848B-9B68CF6E6C62}" name="Table1" displayName="Table1" ref="A1:R105" totalsRowShown="0" headerRowDxfId="19" dataDxfId="18">
  <autoFilter ref="A1:R105" xr:uid="{BC9933C7-9C17-4A73-848B-9B68CF6E6C62}"/>
  <tableColumns count="18">
    <tableColumn id="1" xr3:uid="{90FB5677-D2AD-461D-96AE-5EB2AB5DDB9A}" name="Date" dataDxfId="17"/>
    <tableColumn id="2" xr3:uid="{6F742A4C-190C-4ABE-8941-060413105E2E}" name="Day" dataDxfId="16">
      <calculatedColumnFormula>TEXT(A2,"dddd")</calculatedColumnFormula>
    </tableColumn>
    <tableColumn id="3" xr3:uid="{1D143074-9746-4228-9627-69AB357093FB}" name="Truck Arrival" dataDxfId="15"/>
    <tableColumn id="4" xr3:uid="{0776E9BF-925D-453B-B0ED-124B7A56F179}" name="Trays Purchased" dataDxfId="14">
      <calculatedColumnFormula>IF(B2="Friday",RANDBETWEEN(100,115),RANDBETWEEN(90,105))</calculatedColumnFormula>
    </tableColumn>
    <tableColumn id="5" xr3:uid="{7D8D3951-8E06-4C9A-A7D1-C4302346FA08}" name="Cost/Tray" dataDxfId="13">
      <calculatedColumnFormula>IF(B2="Friday",RANDBETWEEN(165,180),RANDBETWEEN(155,170))</calculatedColumnFormula>
    </tableColumn>
    <tableColumn id="6" xr3:uid="{CFDDA01C-A162-4784-96CF-CA5C59A32D9A}" name="Sell Price" dataDxfId="12">
      <calculatedColumnFormula>E2+10</calculatedColumnFormula>
    </tableColumn>
    <tableColumn id="7" xr3:uid="{3B8E468F-F1F1-48D9-9839-79C7468620A2}" name="Profit/Tray" dataDxfId="11">
      <calculatedColumnFormula>RANDBETWEEN(8,10)</calculatedColumnFormula>
    </tableColumn>
    <tableColumn id="8" xr3:uid="{B1C83F13-0DCD-47A9-8E2F-17F3E802AC8A}" name="Total Cost" dataDxfId="10">
      <calculatedColumnFormula>D2*E2</calculatedColumnFormula>
    </tableColumn>
    <tableColumn id="9" xr3:uid="{E3E499C0-2722-42B7-A375-FB48139D5103}" name="Sold" dataDxfId="9"/>
    <tableColumn id="10" xr3:uid="{AF7FD681-A2DC-4898-9DAD-D632262CEF71}" name="Remaining" dataDxfId="8">
      <calculatedColumnFormula>I2-D2</calculatedColumnFormula>
    </tableColumn>
    <tableColumn id="11" xr3:uid="{DE6DB886-DA1D-4ACA-866F-1384C44AEE8A}" name="Damaged" dataDxfId="7">
      <calculatedColumnFormula>RANDBETWEEN(0,3)</calculatedColumnFormula>
    </tableColumn>
    <tableColumn id="12" xr3:uid="{8432499F-A385-428A-B450-F2995EC6A28E}" name="Revenue" dataDxfId="6">
      <calculatedColumnFormula>(I2-K2)*F2</calculatedColumnFormula>
    </tableColumn>
    <tableColumn id="13" xr3:uid="{ECB933E1-917F-4BD9-B21A-9C55EB5EC53E}" name="Profit" dataDxfId="5">
      <calculatedColumnFormula>(I2-K2)*G2</calculatedColumnFormula>
    </tableColumn>
    <tableColumn id="14" xr3:uid="{CF08C7AE-31B4-42DA-895D-F87AF736E220}" name="Month Number" dataDxfId="4">
      <calculatedColumnFormula>MONTH(A2)</calculatedColumnFormula>
    </tableColumn>
    <tableColumn id="15" xr3:uid="{431B5E6E-A461-4BE9-8505-B40663BCAD76}" name="Quarter" dataDxfId="3">
      <calculatedColumnFormula>"Q"&amp;ROUNDUP(MONTH(A2)/3,0)</calculatedColumnFormula>
    </tableColumn>
    <tableColumn id="16" xr3:uid="{665A7204-BA02-440E-B5C3-AB1DE47C5E4A}" name="Business Status" dataDxfId="2">
      <calculatedColumnFormula>IF(M2&gt;=900,"Good","Needs Attention")</calculatedColumnFormula>
    </tableColumn>
    <tableColumn id="17" xr3:uid="{F6D824BA-7BB4-4E88-9D7F-F78F000ABBC2}" name="Month" dataDxfId="1">
      <calculatedColumnFormula>TEXT(A2,"mmmm")</calculatedColumnFormula>
    </tableColumn>
    <tableColumn id="18" xr3:uid="{7CE7CED0-20E5-4BA3-819D-CE8183E0BC3B}" name="Profit Margin" dataDxfId="0">
      <calculatedColumnFormula>M2/L2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0"/>
  <sheetViews>
    <sheetView tabSelected="1" topLeftCell="H1" workbookViewId="0">
      <selection activeCell="R2" sqref="R2"/>
    </sheetView>
  </sheetViews>
  <sheetFormatPr defaultRowHeight="15"/>
  <cols>
    <col min="1" max="1" width="16" customWidth="1"/>
    <col min="2" max="2" width="18" customWidth="1"/>
    <col min="3" max="3" width="14.7109375" bestFit="1" customWidth="1"/>
    <col min="4" max="4" width="18" bestFit="1" customWidth="1"/>
    <col min="5" max="5" width="12.140625" bestFit="1" customWidth="1"/>
    <col min="6" max="6" width="11.42578125" bestFit="1" customWidth="1"/>
    <col min="7" max="7" width="14.85546875" customWidth="1"/>
    <col min="8" max="8" width="14.28515625" customWidth="1"/>
    <col min="9" max="9" width="13.140625" customWidth="1"/>
    <col min="10" max="10" width="15.42578125" customWidth="1"/>
    <col min="11" max="11" width="14.5703125" customWidth="1"/>
    <col min="12" max="12" width="15.85546875" customWidth="1"/>
    <col min="13" max="13" width="16.28515625" customWidth="1"/>
    <col min="14" max="14" width="19.5703125" customWidth="1"/>
    <col min="15" max="15" width="16.5703125" customWidth="1"/>
    <col min="16" max="16" width="19.5703125" customWidth="1"/>
    <col min="17" max="17" width="23" customWidth="1"/>
    <col min="18" max="18" width="3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46024</v>
      </c>
      <c r="B2" s="1" t="str">
        <f>TEXT(A2,"dddd")</f>
        <v>Friday</v>
      </c>
      <c r="C2" s="1" t="str">
        <f>IF(A2&lt;&gt;"","Yes","")</f>
        <v>Yes</v>
      </c>
      <c r="D2" s="1">
        <f ca="1">IF(B2="Friday",RANDBETWEEN(100,115),RANDBETWEEN(90,105))</f>
        <v>104</v>
      </c>
      <c r="E2" s="1">
        <f ca="1">IF(B2="Friday",RANDBETWEEN(165,180),RANDBETWEEN(155,170))</f>
        <v>176</v>
      </c>
      <c r="F2" s="1">
        <f t="shared" ref="F2:F65" ca="1" si="0">E2+10</f>
        <v>186</v>
      </c>
      <c r="G2" s="1">
        <f ca="1">RANDBETWEEN(8,10)</f>
        <v>9</v>
      </c>
      <c r="H2" s="1">
        <f ca="1">D2*E2</f>
        <v>18304</v>
      </c>
      <c r="I2" s="1">
        <f ca="1">RANDBETWEEN(D2-15,D2)</f>
        <v>97</v>
      </c>
      <c r="J2" s="1">
        <f ca="1">I2-D2</f>
        <v>-7</v>
      </c>
      <c r="K2" s="1">
        <f ca="1">RANDBETWEEN(0,3)</f>
        <v>2</v>
      </c>
      <c r="L2" s="1">
        <f ca="1">(I2-K2)*F2</f>
        <v>17670</v>
      </c>
      <c r="M2" s="1">
        <f ca="1">(I2-K2)*G2</f>
        <v>855</v>
      </c>
      <c r="N2" s="1">
        <f t="shared" ref="N2:N33" si="1">MONTH(A2)</f>
        <v>1</v>
      </c>
      <c r="O2" s="1" t="str">
        <f t="shared" ref="O2:O33" si="2">"Q"&amp;ROUNDUP(MONTH(A2)/3,0)</f>
        <v>Q1</v>
      </c>
      <c r="P2" s="1" t="str">
        <f t="shared" ref="P2:P33" ca="1" si="3">IF(M2&gt;=900,"Good","Needs Attention")</f>
        <v>Needs Attention</v>
      </c>
      <c r="Q2" s="1" t="str">
        <f t="shared" ref="Q2:Q33" si="4">TEXT(A2,"mmmm")</f>
        <v>January</v>
      </c>
      <c r="R2" s="1">
        <f t="shared" ref="R2:R33" ca="1" si="5">M2/L2</f>
        <v>4.8387096774193547E-2</v>
      </c>
    </row>
    <row r="3" spans="1:18">
      <c r="A3" s="2">
        <f>IF(WEEKDAY(A2)=6,A2+4,A2+3)</f>
        <v>46028</v>
      </c>
      <c r="B3" s="1" t="str">
        <f>TEXT(A3,"dddd")</f>
        <v>Tuesday</v>
      </c>
      <c r="C3" s="1" t="str">
        <f>IF(A3&lt;&gt;"","Yes","")</f>
        <v>Yes</v>
      </c>
      <c r="D3" s="1">
        <f t="shared" ref="D3:D66" ca="1" si="6">IF(B3="Friday",RANDBETWEEN(100,115),RANDBETWEEN(90,105))</f>
        <v>97</v>
      </c>
      <c r="E3" s="1">
        <f t="shared" ref="E3:E66" ca="1" si="7">IF(B3="Friday",RANDBETWEEN(165,180),RANDBETWEEN(155,170))</f>
        <v>167</v>
      </c>
      <c r="F3" s="1">
        <f t="shared" ca="1" si="0"/>
        <v>177</v>
      </c>
      <c r="G3" s="1">
        <f t="shared" ref="G3:G66" ca="1" si="8">RANDBETWEEN(8,10)</f>
        <v>10</v>
      </c>
      <c r="H3" s="1">
        <f t="shared" ref="H3:H66" ca="1" si="9">D3*E3</f>
        <v>16199</v>
      </c>
      <c r="I3" s="1">
        <f t="shared" ref="I3:I66" ca="1" si="10">RANDBETWEEN(D3-15,D3)</f>
        <v>84</v>
      </c>
      <c r="J3" s="1">
        <f ca="1">I3-D3</f>
        <v>-13</v>
      </c>
      <c r="K3" s="1">
        <f t="shared" ref="K3:K66" ca="1" si="11">RANDBETWEEN(0,3)</f>
        <v>2</v>
      </c>
      <c r="L3" s="1">
        <f t="shared" ref="L3:L66" ca="1" si="12">(I3-K3)*F3</f>
        <v>14514</v>
      </c>
      <c r="M3" s="1">
        <f t="shared" ref="M3:M66" ca="1" si="13">(I3-K3)*G3</f>
        <v>820</v>
      </c>
      <c r="N3" s="1">
        <f t="shared" si="1"/>
        <v>1</v>
      </c>
      <c r="O3" s="1" t="str">
        <f t="shared" si="2"/>
        <v>Q1</v>
      </c>
      <c r="P3" s="1" t="str">
        <f t="shared" ca="1" si="3"/>
        <v>Needs Attention</v>
      </c>
      <c r="Q3" s="1" t="str">
        <f t="shared" si="4"/>
        <v>January</v>
      </c>
      <c r="R3" s="1">
        <f t="shared" ca="1" si="5"/>
        <v>5.6497175141242938E-2</v>
      </c>
    </row>
    <row r="4" spans="1:18">
      <c r="A4" s="2">
        <f t="shared" ref="A4:A67" si="14">IF(WEEKDAY(A3)=6,A3+4,A3+3)</f>
        <v>46031</v>
      </c>
      <c r="B4" s="1" t="str">
        <f>TEXT(A4,"dddd")</f>
        <v>Friday</v>
      </c>
      <c r="C4" s="1" t="str">
        <f>IF(A4&lt;&gt;"","Yes","")</f>
        <v>Yes</v>
      </c>
      <c r="D4" s="1">
        <f t="shared" ca="1" si="6"/>
        <v>109</v>
      </c>
      <c r="E4" s="1">
        <f t="shared" ca="1" si="7"/>
        <v>170</v>
      </c>
      <c r="F4" s="1">
        <f t="shared" ca="1" si="0"/>
        <v>180</v>
      </c>
      <c r="G4" s="1">
        <f t="shared" ca="1" si="8"/>
        <v>9</v>
      </c>
      <c r="H4" s="1">
        <f t="shared" ca="1" si="9"/>
        <v>18530</v>
      </c>
      <c r="I4" s="1">
        <f t="shared" ca="1" si="10"/>
        <v>109</v>
      </c>
      <c r="J4" s="1">
        <f ca="1">I4-D4</f>
        <v>0</v>
      </c>
      <c r="K4" s="1">
        <f t="shared" ca="1" si="11"/>
        <v>2</v>
      </c>
      <c r="L4" s="1">
        <f t="shared" ca="1" si="12"/>
        <v>19260</v>
      </c>
      <c r="M4" s="1">
        <f t="shared" ca="1" si="13"/>
        <v>963</v>
      </c>
      <c r="N4" s="1">
        <f t="shared" si="1"/>
        <v>1</v>
      </c>
      <c r="O4" s="1" t="str">
        <f t="shared" si="2"/>
        <v>Q1</v>
      </c>
      <c r="P4" s="1" t="str">
        <f t="shared" ca="1" si="3"/>
        <v>Good</v>
      </c>
      <c r="Q4" s="1" t="str">
        <f t="shared" si="4"/>
        <v>January</v>
      </c>
      <c r="R4" s="1">
        <f t="shared" ca="1" si="5"/>
        <v>0.05</v>
      </c>
    </row>
    <row r="5" spans="1:18">
      <c r="A5" s="2">
        <f t="shared" si="14"/>
        <v>46035</v>
      </c>
      <c r="B5" s="1" t="str">
        <f>TEXT(A5,"dddd")</f>
        <v>Tuesday</v>
      </c>
      <c r="C5" s="1" t="str">
        <f>IF(A5&lt;&gt;"","Yes","")</f>
        <v>Yes</v>
      </c>
      <c r="D5" s="1">
        <f t="shared" ca="1" si="6"/>
        <v>98</v>
      </c>
      <c r="E5" s="1">
        <f t="shared" ca="1" si="7"/>
        <v>159</v>
      </c>
      <c r="F5" s="1">
        <f t="shared" ca="1" si="0"/>
        <v>169</v>
      </c>
      <c r="G5" s="1">
        <f t="shared" ca="1" si="8"/>
        <v>8</v>
      </c>
      <c r="H5" s="1">
        <f t="shared" ca="1" si="9"/>
        <v>15582</v>
      </c>
      <c r="I5" s="1">
        <f t="shared" ca="1" si="10"/>
        <v>85</v>
      </c>
      <c r="J5" s="1">
        <f ca="1">I5-D5</f>
        <v>-13</v>
      </c>
      <c r="K5" s="1">
        <f t="shared" ca="1" si="11"/>
        <v>1</v>
      </c>
      <c r="L5" s="1">
        <f t="shared" ca="1" si="12"/>
        <v>14196</v>
      </c>
      <c r="M5" s="1">
        <f t="shared" ca="1" si="13"/>
        <v>672</v>
      </c>
      <c r="N5" s="1">
        <f t="shared" si="1"/>
        <v>1</v>
      </c>
      <c r="O5" s="1" t="str">
        <f t="shared" si="2"/>
        <v>Q1</v>
      </c>
      <c r="P5" s="1" t="str">
        <f t="shared" ca="1" si="3"/>
        <v>Needs Attention</v>
      </c>
      <c r="Q5" s="1" t="str">
        <f t="shared" si="4"/>
        <v>January</v>
      </c>
      <c r="R5" s="1">
        <f t="shared" ca="1" si="5"/>
        <v>4.7337278106508875E-2</v>
      </c>
    </row>
    <row r="6" spans="1:18">
      <c r="A6" s="2">
        <f t="shared" si="14"/>
        <v>46038</v>
      </c>
      <c r="B6" s="1" t="str">
        <f>TEXT(A6,"dddd")</f>
        <v>Friday</v>
      </c>
      <c r="C6" s="1" t="str">
        <f>IF(A6&lt;&gt;"","Yes","")</f>
        <v>Yes</v>
      </c>
      <c r="D6" s="1">
        <f t="shared" ca="1" si="6"/>
        <v>109</v>
      </c>
      <c r="E6" s="1">
        <f t="shared" ca="1" si="7"/>
        <v>165</v>
      </c>
      <c r="F6" s="1">
        <f t="shared" ca="1" si="0"/>
        <v>175</v>
      </c>
      <c r="G6" s="1">
        <f t="shared" ca="1" si="8"/>
        <v>10</v>
      </c>
      <c r="H6" s="1">
        <f t="shared" ca="1" si="9"/>
        <v>17985</v>
      </c>
      <c r="I6" s="1">
        <f t="shared" ca="1" si="10"/>
        <v>94</v>
      </c>
      <c r="J6" s="1" t="s">
        <v>18</v>
      </c>
      <c r="K6" s="1">
        <f t="shared" ca="1" si="11"/>
        <v>0</v>
      </c>
      <c r="L6" s="1">
        <f t="shared" ca="1" si="12"/>
        <v>16450</v>
      </c>
      <c r="M6" s="1">
        <f t="shared" ca="1" si="13"/>
        <v>940</v>
      </c>
      <c r="N6" s="1">
        <f t="shared" si="1"/>
        <v>1</v>
      </c>
      <c r="O6" s="1" t="str">
        <f t="shared" si="2"/>
        <v>Q1</v>
      </c>
      <c r="P6" s="1" t="str">
        <f t="shared" ca="1" si="3"/>
        <v>Good</v>
      </c>
      <c r="Q6" s="1" t="str">
        <f t="shared" si="4"/>
        <v>January</v>
      </c>
      <c r="R6" s="1">
        <f t="shared" ca="1" si="5"/>
        <v>5.7142857142857141E-2</v>
      </c>
    </row>
    <row r="7" spans="1:18">
      <c r="A7" s="2">
        <f t="shared" si="14"/>
        <v>46042</v>
      </c>
      <c r="B7" s="1" t="str">
        <f>TEXT(A7,"dddd")</f>
        <v>Tuesday</v>
      </c>
      <c r="C7" s="1" t="str">
        <f>IF(A7&lt;&gt;"","Yes","")</f>
        <v>Yes</v>
      </c>
      <c r="D7" s="1">
        <f t="shared" ca="1" si="6"/>
        <v>101</v>
      </c>
      <c r="E7" s="1">
        <f t="shared" ca="1" si="7"/>
        <v>164</v>
      </c>
      <c r="F7" s="1">
        <f t="shared" ca="1" si="0"/>
        <v>174</v>
      </c>
      <c r="G7" s="1">
        <f t="shared" ca="1" si="8"/>
        <v>9</v>
      </c>
      <c r="H7" s="1">
        <f t="shared" ca="1" si="9"/>
        <v>16564</v>
      </c>
      <c r="I7" s="1">
        <f t="shared" ca="1" si="10"/>
        <v>99</v>
      </c>
      <c r="J7" s="1">
        <f ca="1">I7-D7</f>
        <v>-2</v>
      </c>
      <c r="K7" s="1">
        <f t="shared" ca="1" si="11"/>
        <v>3</v>
      </c>
      <c r="L7" s="1">
        <f t="shared" ca="1" si="12"/>
        <v>16704</v>
      </c>
      <c r="M7" s="1">
        <f t="shared" ca="1" si="13"/>
        <v>864</v>
      </c>
      <c r="N7" s="1">
        <f t="shared" si="1"/>
        <v>1</v>
      </c>
      <c r="O7" s="1" t="str">
        <f t="shared" si="2"/>
        <v>Q1</v>
      </c>
      <c r="P7" s="1" t="str">
        <f t="shared" ca="1" si="3"/>
        <v>Needs Attention</v>
      </c>
      <c r="Q7" s="1" t="str">
        <f t="shared" si="4"/>
        <v>January</v>
      </c>
      <c r="R7" s="1">
        <f t="shared" ca="1" si="5"/>
        <v>5.1724137931034482E-2</v>
      </c>
    </row>
    <row r="8" spans="1:18">
      <c r="A8" s="2">
        <f t="shared" si="14"/>
        <v>46045</v>
      </c>
      <c r="B8" s="1" t="str">
        <f>TEXT(A8,"dddd")</f>
        <v>Friday</v>
      </c>
      <c r="C8" s="1" t="str">
        <f>IF(A8&lt;&gt;"","Yes","")</f>
        <v>Yes</v>
      </c>
      <c r="D8" s="1">
        <f t="shared" ca="1" si="6"/>
        <v>112</v>
      </c>
      <c r="E8" s="1">
        <f t="shared" ca="1" si="7"/>
        <v>176</v>
      </c>
      <c r="F8" s="1">
        <f t="shared" ca="1" si="0"/>
        <v>186</v>
      </c>
      <c r="G8" s="1">
        <f t="shared" ca="1" si="8"/>
        <v>8</v>
      </c>
      <c r="H8" s="1">
        <f t="shared" ca="1" si="9"/>
        <v>19712</v>
      </c>
      <c r="I8" s="1">
        <f t="shared" ca="1" si="10"/>
        <v>102</v>
      </c>
      <c r="J8" s="1">
        <f ca="1">I8-D8</f>
        <v>-10</v>
      </c>
      <c r="K8" s="1">
        <f t="shared" ca="1" si="11"/>
        <v>0</v>
      </c>
      <c r="L8" s="1">
        <f t="shared" ca="1" si="12"/>
        <v>18972</v>
      </c>
      <c r="M8" s="1">
        <f t="shared" ca="1" si="13"/>
        <v>816</v>
      </c>
      <c r="N8" s="1">
        <f t="shared" si="1"/>
        <v>1</v>
      </c>
      <c r="O8" s="1" t="str">
        <f t="shared" si="2"/>
        <v>Q1</v>
      </c>
      <c r="P8" s="1" t="str">
        <f t="shared" ca="1" si="3"/>
        <v>Needs Attention</v>
      </c>
      <c r="Q8" s="1" t="str">
        <f t="shared" si="4"/>
        <v>January</v>
      </c>
      <c r="R8" s="1">
        <f t="shared" ca="1" si="5"/>
        <v>4.3010752688172046E-2</v>
      </c>
    </row>
    <row r="9" spans="1:18">
      <c r="A9" s="2">
        <f t="shared" si="14"/>
        <v>46049</v>
      </c>
      <c r="B9" s="1" t="str">
        <f>TEXT(A9,"dddd")</f>
        <v>Tuesday</v>
      </c>
      <c r="C9" s="1" t="str">
        <f>IF(A9&lt;&gt;"","Yes","")</f>
        <v>Yes</v>
      </c>
      <c r="D9" s="1">
        <f t="shared" ca="1" si="6"/>
        <v>97</v>
      </c>
      <c r="E9" s="1">
        <f t="shared" ca="1" si="7"/>
        <v>161</v>
      </c>
      <c r="F9" s="1">
        <f t="shared" ca="1" si="0"/>
        <v>171</v>
      </c>
      <c r="G9" s="1">
        <f t="shared" ca="1" si="8"/>
        <v>10</v>
      </c>
      <c r="H9" s="1">
        <f t="shared" ca="1" si="9"/>
        <v>15617</v>
      </c>
      <c r="I9" s="1">
        <f t="shared" ca="1" si="10"/>
        <v>83</v>
      </c>
      <c r="J9" s="1">
        <f ca="1">I9-D9</f>
        <v>-14</v>
      </c>
      <c r="K9" s="1">
        <f t="shared" ca="1" si="11"/>
        <v>3</v>
      </c>
      <c r="L9" s="1">
        <f t="shared" ca="1" si="12"/>
        <v>13680</v>
      </c>
      <c r="M9" s="1">
        <f t="shared" ca="1" si="13"/>
        <v>800</v>
      </c>
      <c r="N9" s="1">
        <f t="shared" si="1"/>
        <v>1</v>
      </c>
      <c r="O9" s="1" t="str">
        <f t="shared" si="2"/>
        <v>Q1</v>
      </c>
      <c r="P9" s="1" t="str">
        <f t="shared" ca="1" si="3"/>
        <v>Needs Attention</v>
      </c>
      <c r="Q9" s="1" t="str">
        <f t="shared" si="4"/>
        <v>January</v>
      </c>
      <c r="R9" s="1">
        <f t="shared" ca="1" si="5"/>
        <v>5.8479532163742687E-2</v>
      </c>
    </row>
    <row r="10" spans="1:18">
      <c r="A10" s="2">
        <f t="shared" si="14"/>
        <v>46052</v>
      </c>
      <c r="B10" s="1" t="str">
        <f>TEXT(A10,"dddd")</f>
        <v>Friday</v>
      </c>
      <c r="C10" s="1" t="str">
        <f>IF(A10&lt;&gt;"","Yes","")</f>
        <v>Yes</v>
      </c>
      <c r="D10" s="1">
        <f t="shared" ca="1" si="6"/>
        <v>103</v>
      </c>
      <c r="E10" s="1">
        <f t="shared" ca="1" si="7"/>
        <v>180</v>
      </c>
      <c r="F10" s="1">
        <f t="shared" ca="1" si="0"/>
        <v>190</v>
      </c>
      <c r="G10" s="1">
        <f t="shared" ca="1" si="8"/>
        <v>10</v>
      </c>
      <c r="H10" s="1">
        <f t="shared" ca="1" si="9"/>
        <v>18540</v>
      </c>
      <c r="I10" s="1">
        <f t="shared" ca="1" si="10"/>
        <v>94</v>
      </c>
      <c r="J10" s="1">
        <f ca="1">I10-D10</f>
        <v>-9</v>
      </c>
      <c r="K10" s="1">
        <f t="shared" ca="1" si="11"/>
        <v>3</v>
      </c>
      <c r="L10" s="1">
        <f t="shared" ca="1" si="12"/>
        <v>17290</v>
      </c>
      <c r="M10" s="1">
        <f t="shared" ca="1" si="13"/>
        <v>910</v>
      </c>
      <c r="N10" s="1">
        <f t="shared" si="1"/>
        <v>1</v>
      </c>
      <c r="O10" s="1" t="str">
        <f t="shared" si="2"/>
        <v>Q1</v>
      </c>
      <c r="P10" s="1" t="str">
        <f t="shared" ca="1" si="3"/>
        <v>Good</v>
      </c>
      <c r="Q10" s="1" t="str">
        <f t="shared" si="4"/>
        <v>January</v>
      </c>
      <c r="R10" s="1">
        <f t="shared" ca="1" si="5"/>
        <v>5.2631578947368418E-2</v>
      </c>
    </row>
    <row r="11" spans="1:18">
      <c r="A11" s="2">
        <f t="shared" si="14"/>
        <v>46056</v>
      </c>
      <c r="B11" s="1" t="str">
        <f>TEXT(A11,"dddd")</f>
        <v>Tuesday</v>
      </c>
      <c r="C11" s="1" t="str">
        <f>IF(A11&lt;&gt;"","Yes","")</f>
        <v>Yes</v>
      </c>
      <c r="D11" s="1">
        <f t="shared" ca="1" si="6"/>
        <v>91</v>
      </c>
      <c r="E11" s="1">
        <f t="shared" ca="1" si="7"/>
        <v>167</v>
      </c>
      <c r="F11" s="1">
        <f t="shared" ca="1" si="0"/>
        <v>177</v>
      </c>
      <c r="G11" s="1">
        <f t="shared" ca="1" si="8"/>
        <v>8</v>
      </c>
      <c r="H11" s="1">
        <f t="shared" ca="1" si="9"/>
        <v>15197</v>
      </c>
      <c r="I11" s="1">
        <f t="shared" ca="1" si="10"/>
        <v>85</v>
      </c>
      <c r="J11" s="1">
        <f ca="1">I11-D11</f>
        <v>-6</v>
      </c>
      <c r="K11" s="1">
        <f t="shared" ca="1" si="11"/>
        <v>2</v>
      </c>
      <c r="L11" s="1">
        <f t="shared" ca="1" si="12"/>
        <v>14691</v>
      </c>
      <c r="M11" s="1">
        <f t="shared" ca="1" si="13"/>
        <v>664</v>
      </c>
      <c r="N11" s="1">
        <f t="shared" si="1"/>
        <v>2</v>
      </c>
      <c r="O11" s="1" t="str">
        <f t="shared" si="2"/>
        <v>Q1</v>
      </c>
      <c r="P11" s="1" t="str">
        <f t="shared" ca="1" si="3"/>
        <v>Needs Attention</v>
      </c>
      <c r="Q11" s="1" t="str">
        <f t="shared" si="4"/>
        <v>February</v>
      </c>
      <c r="R11" s="1">
        <f t="shared" ca="1" si="5"/>
        <v>4.519774011299435E-2</v>
      </c>
    </row>
    <row r="12" spans="1:18">
      <c r="A12" s="2">
        <f t="shared" si="14"/>
        <v>46059</v>
      </c>
      <c r="B12" s="1" t="str">
        <f>TEXT(A12,"dddd")</f>
        <v>Friday</v>
      </c>
      <c r="C12" s="1" t="str">
        <f>IF(A12&lt;&gt;"","Yes","")</f>
        <v>Yes</v>
      </c>
      <c r="D12" s="1">
        <f t="shared" ca="1" si="6"/>
        <v>114</v>
      </c>
      <c r="E12" s="1">
        <f t="shared" ca="1" si="7"/>
        <v>178</v>
      </c>
      <c r="F12" s="1">
        <f t="shared" ca="1" si="0"/>
        <v>188</v>
      </c>
      <c r="G12" s="1">
        <f t="shared" ca="1" si="8"/>
        <v>10</v>
      </c>
      <c r="H12" s="1">
        <f t="shared" ca="1" si="9"/>
        <v>20292</v>
      </c>
      <c r="I12" s="1">
        <f t="shared" ca="1" si="10"/>
        <v>103</v>
      </c>
      <c r="J12" s="1">
        <f ca="1">I12-D12</f>
        <v>-11</v>
      </c>
      <c r="K12" s="1">
        <f t="shared" ca="1" si="11"/>
        <v>3</v>
      </c>
      <c r="L12" s="1">
        <f t="shared" ca="1" si="12"/>
        <v>18800</v>
      </c>
      <c r="M12" s="1">
        <f t="shared" ca="1" si="13"/>
        <v>1000</v>
      </c>
      <c r="N12" s="1">
        <f t="shared" si="1"/>
        <v>2</v>
      </c>
      <c r="O12" s="1" t="str">
        <f t="shared" si="2"/>
        <v>Q1</v>
      </c>
      <c r="P12" s="1" t="str">
        <f t="shared" ca="1" si="3"/>
        <v>Good</v>
      </c>
      <c r="Q12" s="1" t="str">
        <f t="shared" si="4"/>
        <v>February</v>
      </c>
      <c r="R12" s="1">
        <f t="shared" ca="1" si="5"/>
        <v>5.3191489361702128E-2</v>
      </c>
    </row>
    <row r="13" spans="1:18">
      <c r="A13" s="2">
        <f t="shared" si="14"/>
        <v>46063</v>
      </c>
      <c r="B13" s="1" t="str">
        <f>TEXT(A13,"dddd")</f>
        <v>Tuesday</v>
      </c>
      <c r="C13" s="1" t="str">
        <f>IF(A13&lt;&gt;"","Yes","")</f>
        <v>Yes</v>
      </c>
      <c r="D13" s="1">
        <f t="shared" ca="1" si="6"/>
        <v>93</v>
      </c>
      <c r="E13" s="1">
        <f t="shared" ca="1" si="7"/>
        <v>169</v>
      </c>
      <c r="F13" s="1">
        <f t="shared" ca="1" si="0"/>
        <v>179</v>
      </c>
      <c r="G13" s="1">
        <f t="shared" ca="1" si="8"/>
        <v>10</v>
      </c>
      <c r="H13" s="1">
        <f t="shared" ca="1" si="9"/>
        <v>15717</v>
      </c>
      <c r="I13" s="1">
        <f t="shared" ca="1" si="10"/>
        <v>87</v>
      </c>
      <c r="J13" s="1">
        <f ca="1">I13-D13</f>
        <v>-6</v>
      </c>
      <c r="K13" s="1">
        <f t="shared" ca="1" si="11"/>
        <v>1</v>
      </c>
      <c r="L13" s="1">
        <f t="shared" ca="1" si="12"/>
        <v>15394</v>
      </c>
      <c r="M13" s="1">
        <f t="shared" ca="1" si="13"/>
        <v>860</v>
      </c>
      <c r="N13" s="1">
        <f t="shared" si="1"/>
        <v>2</v>
      </c>
      <c r="O13" s="1" t="str">
        <f t="shared" si="2"/>
        <v>Q1</v>
      </c>
      <c r="P13" s="1" t="str">
        <f t="shared" ca="1" si="3"/>
        <v>Needs Attention</v>
      </c>
      <c r="Q13" s="1" t="str">
        <f t="shared" si="4"/>
        <v>February</v>
      </c>
      <c r="R13" s="1">
        <f t="shared" ca="1" si="5"/>
        <v>5.5865921787709494E-2</v>
      </c>
    </row>
    <row r="14" spans="1:18">
      <c r="A14" s="2">
        <f t="shared" si="14"/>
        <v>46066</v>
      </c>
      <c r="B14" s="1" t="str">
        <f>TEXT(A14,"dddd")</f>
        <v>Friday</v>
      </c>
      <c r="C14" s="1" t="str">
        <f>IF(A14&lt;&gt;"","Yes","")</f>
        <v>Yes</v>
      </c>
      <c r="D14" s="1">
        <f t="shared" ca="1" si="6"/>
        <v>107</v>
      </c>
      <c r="E14" s="1">
        <f t="shared" ca="1" si="7"/>
        <v>179</v>
      </c>
      <c r="F14" s="1">
        <f t="shared" ca="1" si="0"/>
        <v>189</v>
      </c>
      <c r="G14" s="1">
        <f t="shared" ca="1" si="8"/>
        <v>10</v>
      </c>
      <c r="H14" s="1">
        <f t="shared" ca="1" si="9"/>
        <v>19153</v>
      </c>
      <c r="I14" s="1">
        <f t="shared" ca="1" si="10"/>
        <v>99</v>
      </c>
      <c r="J14" s="1">
        <f ca="1">D2-I2-K2</f>
        <v>5</v>
      </c>
      <c r="K14" s="1">
        <f t="shared" ca="1" si="11"/>
        <v>3</v>
      </c>
      <c r="L14" s="1">
        <f t="shared" ca="1" si="12"/>
        <v>18144</v>
      </c>
      <c r="M14" s="1">
        <f t="shared" ca="1" si="13"/>
        <v>960</v>
      </c>
      <c r="N14" s="1">
        <f t="shared" si="1"/>
        <v>2</v>
      </c>
      <c r="O14" s="1" t="str">
        <f t="shared" si="2"/>
        <v>Q1</v>
      </c>
      <c r="P14" s="1" t="str">
        <f t="shared" ca="1" si="3"/>
        <v>Good</v>
      </c>
      <c r="Q14" s="1" t="str">
        <f t="shared" si="4"/>
        <v>February</v>
      </c>
      <c r="R14" s="1">
        <f t="shared" ca="1" si="5"/>
        <v>5.2910052910052907E-2</v>
      </c>
    </row>
    <row r="15" spans="1:18">
      <c r="A15" s="2">
        <f t="shared" si="14"/>
        <v>46070</v>
      </c>
      <c r="B15" s="1" t="str">
        <f>TEXT(A15,"dddd")</f>
        <v>Tuesday</v>
      </c>
      <c r="C15" s="1" t="str">
        <f>IF(A15&lt;&gt;"","Yes","")</f>
        <v>Yes</v>
      </c>
      <c r="D15" s="1">
        <f t="shared" ca="1" si="6"/>
        <v>94</v>
      </c>
      <c r="E15" s="1">
        <f t="shared" ca="1" si="7"/>
        <v>167</v>
      </c>
      <c r="F15" s="1">
        <f t="shared" ca="1" si="0"/>
        <v>177</v>
      </c>
      <c r="G15" s="1">
        <f t="shared" ca="1" si="8"/>
        <v>9</v>
      </c>
      <c r="H15" s="1">
        <f t="shared" ca="1" si="9"/>
        <v>15698</v>
      </c>
      <c r="I15" s="1">
        <f t="shared" ca="1" si="10"/>
        <v>87</v>
      </c>
      <c r="J15" s="1">
        <f t="shared" ref="J15:J78" ca="1" si="15">D3-I3-K3</f>
        <v>11</v>
      </c>
      <c r="K15" s="1">
        <f t="shared" ca="1" si="11"/>
        <v>3</v>
      </c>
      <c r="L15" s="1">
        <f t="shared" ca="1" si="12"/>
        <v>14868</v>
      </c>
      <c r="M15" s="1">
        <f t="shared" ca="1" si="13"/>
        <v>756</v>
      </c>
      <c r="N15" s="1">
        <f t="shared" si="1"/>
        <v>2</v>
      </c>
      <c r="O15" s="1" t="str">
        <f t="shared" si="2"/>
        <v>Q1</v>
      </c>
      <c r="P15" s="1" t="str">
        <f t="shared" ca="1" si="3"/>
        <v>Needs Attention</v>
      </c>
      <c r="Q15" s="1" t="str">
        <f t="shared" si="4"/>
        <v>February</v>
      </c>
      <c r="R15" s="1">
        <f t="shared" ca="1" si="5"/>
        <v>5.0847457627118647E-2</v>
      </c>
    </row>
    <row r="16" spans="1:18">
      <c r="A16" s="2">
        <f t="shared" si="14"/>
        <v>46073</v>
      </c>
      <c r="B16" s="1" t="str">
        <f>TEXT(A16,"dddd")</f>
        <v>Friday</v>
      </c>
      <c r="C16" s="1" t="str">
        <f>IF(A16&lt;&gt;"","Yes","")</f>
        <v>Yes</v>
      </c>
      <c r="D16" s="1">
        <f t="shared" ca="1" si="6"/>
        <v>102</v>
      </c>
      <c r="E16" s="1">
        <f t="shared" ca="1" si="7"/>
        <v>167</v>
      </c>
      <c r="F16" s="1">
        <f t="shared" ca="1" si="0"/>
        <v>177</v>
      </c>
      <c r="G16" s="1">
        <f t="shared" ca="1" si="8"/>
        <v>8</v>
      </c>
      <c r="H16" s="1">
        <f t="shared" ca="1" si="9"/>
        <v>17034</v>
      </c>
      <c r="I16" s="1">
        <f t="shared" ca="1" si="10"/>
        <v>100</v>
      </c>
      <c r="J16" s="1">
        <f t="shared" ca="1" si="15"/>
        <v>-2</v>
      </c>
      <c r="K16" s="1">
        <f t="shared" ca="1" si="11"/>
        <v>1</v>
      </c>
      <c r="L16" s="1">
        <f t="shared" ca="1" si="12"/>
        <v>17523</v>
      </c>
      <c r="M16" s="1">
        <f t="shared" ca="1" si="13"/>
        <v>792</v>
      </c>
      <c r="N16" s="1">
        <f t="shared" si="1"/>
        <v>2</v>
      </c>
      <c r="O16" s="1" t="str">
        <f t="shared" si="2"/>
        <v>Q1</v>
      </c>
      <c r="P16" s="1" t="str">
        <f t="shared" ca="1" si="3"/>
        <v>Needs Attention</v>
      </c>
      <c r="Q16" s="1" t="str">
        <f t="shared" si="4"/>
        <v>February</v>
      </c>
      <c r="R16" s="1">
        <f t="shared" ca="1" si="5"/>
        <v>4.519774011299435E-2</v>
      </c>
    </row>
    <row r="17" spans="1:18">
      <c r="A17" s="2">
        <f t="shared" si="14"/>
        <v>46077</v>
      </c>
      <c r="B17" s="1" t="str">
        <f>TEXT(A17,"dddd")</f>
        <v>Tuesday</v>
      </c>
      <c r="C17" s="1" t="str">
        <f>IF(A17&lt;&gt;"","Yes","")</f>
        <v>Yes</v>
      </c>
      <c r="D17" s="1">
        <f t="shared" ca="1" si="6"/>
        <v>100</v>
      </c>
      <c r="E17" s="1">
        <f t="shared" ca="1" si="7"/>
        <v>163</v>
      </c>
      <c r="F17" s="1">
        <f t="shared" ca="1" si="0"/>
        <v>173</v>
      </c>
      <c r="G17" s="1">
        <f t="shared" ca="1" si="8"/>
        <v>10</v>
      </c>
      <c r="H17" s="1">
        <f t="shared" ca="1" si="9"/>
        <v>16300</v>
      </c>
      <c r="I17" s="1">
        <f t="shared" ca="1" si="10"/>
        <v>89</v>
      </c>
      <c r="J17" s="1">
        <f t="shared" ca="1" si="15"/>
        <v>12</v>
      </c>
      <c r="K17" s="1">
        <f t="shared" ca="1" si="11"/>
        <v>0</v>
      </c>
      <c r="L17" s="1">
        <f t="shared" ca="1" si="12"/>
        <v>15397</v>
      </c>
      <c r="M17" s="1">
        <f t="shared" ca="1" si="13"/>
        <v>890</v>
      </c>
      <c r="N17" s="1">
        <f t="shared" si="1"/>
        <v>2</v>
      </c>
      <c r="O17" s="1" t="str">
        <f t="shared" si="2"/>
        <v>Q1</v>
      </c>
      <c r="P17" s="1" t="str">
        <f t="shared" ca="1" si="3"/>
        <v>Needs Attention</v>
      </c>
      <c r="Q17" s="1" t="str">
        <f t="shared" si="4"/>
        <v>February</v>
      </c>
      <c r="R17" s="1">
        <f t="shared" ca="1" si="5"/>
        <v>5.7803468208092484E-2</v>
      </c>
    </row>
    <row r="18" spans="1:18">
      <c r="A18" s="2">
        <f t="shared" si="14"/>
        <v>46080</v>
      </c>
      <c r="B18" s="1" t="str">
        <f>TEXT(A18,"dddd")</f>
        <v>Friday</v>
      </c>
      <c r="C18" s="1" t="str">
        <f>IF(A18&lt;&gt;"","Yes","")</f>
        <v>Yes</v>
      </c>
      <c r="D18" s="1">
        <f t="shared" ca="1" si="6"/>
        <v>102</v>
      </c>
      <c r="E18" s="1">
        <f t="shared" ca="1" si="7"/>
        <v>167</v>
      </c>
      <c r="F18" s="1">
        <f t="shared" ca="1" si="0"/>
        <v>177</v>
      </c>
      <c r="G18" s="1">
        <f t="shared" ca="1" si="8"/>
        <v>9</v>
      </c>
      <c r="H18" s="1">
        <f t="shared" ca="1" si="9"/>
        <v>17034</v>
      </c>
      <c r="I18" s="1">
        <f t="shared" ca="1" si="10"/>
        <v>90</v>
      </c>
      <c r="J18" s="1">
        <f t="shared" ca="1" si="15"/>
        <v>15</v>
      </c>
      <c r="K18" s="1">
        <f t="shared" ca="1" si="11"/>
        <v>3</v>
      </c>
      <c r="L18" s="1">
        <f t="shared" ca="1" si="12"/>
        <v>15399</v>
      </c>
      <c r="M18" s="1">
        <f t="shared" ca="1" si="13"/>
        <v>783</v>
      </c>
      <c r="N18" s="1">
        <f t="shared" si="1"/>
        <v>2</v>
      </c>
      <c r="O18" s="1" t="str">
        <f t="shared" si="2"/>
        <v>Q1</v>
      </c>
      <c r="P18" s="1" t="str">
        <f t="shared" ca="1" si="3"/>
        <v>Needs Attention</v>
      </c>
      <c r="Q18" s="1" t="str">
        <f t="shared" si="4"/>
        <v>February</v>
      </c>
      <c r="R18" s="1">
        <f t="shared" ca="1" si="5"/>
        <v>5.0847457627118647E-2</v>
      </c>
    </row>
    <row r="19" spans="1:18">
      <c r="A19" s="2">
        <f t="shared" si="14"/>
        <v>46084</v>
      </c>
      <c r="B19" s="1" t="str">
        <f>TEXT(A19,"dddd")</f>
        <v>Tuesday</v>
      </c>
      <c r="C19" s="1" t="str">
        <f>IF(A19&lt;&gt;"","Yes","")</f>
        <v>Yes</v>
      </c>
      <c r="D19" s="1">
        <f t="shared" ca="1" si="6"/>
        <v>93</v>
      </c>
      <c r="E19" s="1">
        <f t="shared" ca="1" si="7"/>
        <v>166</v>
      </c>
      <c r="F19" s="1">
        <f t="shared" ca="1" si="0"/>
        <v>176</v>
      </c>
      <c r="G19" s="1">
        <f t="shared" ca="1" si="8"/>
        <v>10</v>
      </c>
      <c r="H19" s="1">
        <f t="shared" ca="1" si="9"/>
        <v>15438</v>
      </c>
      <c r="I19" s="1">
        <f t="shared" ca="1" si="10"/>
        <v>89</v>
      </c>
      <c r="J19" s="1">
        <f t="shared" ca="1" si="15"/>
        <v>-1</v>
      </c>
      <c r="K19" s="1">
        <f t="shared" ca="1" si="11"/>
        <v>1</v>
      </c>
      <c r="L19" s="1">
        <f t="shared" ca="1" si="12"/>
        <v>15488</v>
      </c>
      <c r="M19" s="1">
        <f t="shared" ca="1" si="13"/>
        <v>880</v>
      </c>
      <c r="N19" s="1">
        <f t="shared" si="1"/>
        <v>3</v>
      </c>
      <c r="O19" s="1" t="str">
        <f t="shared" si="2"/>
        <v>Q1</v>
      </c>
      <c r="P19" s="1" t="str">
        <f t="shared" ca="1" si="3"/>
        <v>Needs Attention</v>
      </c>
      <c r="Q19" s="1" t="str">
        <f t="shared" si="4"/>
        <v>March</v>
      </c>
      <c r="R19" s="1">
        <f t="shared" ca="1" si="5"/>
        <v>5.6818181818181816E-2</v>
      </c>
    </row>
    <row r="20" spans="1:18">
      <c r="A20" s="2">
        <f t="shared" si="14"/>
        <v>46087</v>
      </c>
      <c r="B20" s="1" t="str">
        <f>TEXT(A20,"dddd")</f>
        <v>Friday</v>
      </c>
      <c r="C20" s="1" t="str">
        <f>IF(A20&lt;&gt;"","Yes","")</f>
        <v>Yes</v>
      </c>
      <c r="D20" s="1">
        <f t="shared" ca="1" si="6"/>
        <v>101</v>
      </c>
      <c r="E20" s="1">
        <f t="shared" ca="1" si="7"/>
        <v>174</v>
      </c>
      <c r="F20" s="1">
        <f t="shared" ca="1" si="0"/>
        <v>184</v>
      </c>
      <c r="G20" s="1">
        <f t="shared" ca="1" si="8"/>
        <v>10</v>
      </c>
      <c r="H20" s="1">
        <f t="shared" ca="1" si="9"/>
        <v>17574</v>
      </c>
      <c r="I20" s="1">
        <f t="shared" ca="1" si="10"/>
        <v>96</v>
      </c>
      <c r="J20" s="1">
        <f t="shared" ca="1" si="15"/>
        <v>10</v>
      </c>
      <c r="K20" s="1">
        <f t="shared" ca="1" si="11"/>
        <v>0</v>
      </c>
      <c r="L20" s="1">
        <f t="shared" ca="1" si="12"/>
        <v>17664</v>
      </c>
      <c r="M20" s="1">
        <f t="shared" ca="1" si="13"/>
        <v>960</v>
      </c>
      <c r="N20" s="1">
        <f t="shared" si="1"/>
        <v>3</v>
      </c>
      <c r="O20" s="1" t="str">
        <f t="shared" si="2"/>
        <v>Q1</v>
      </c>
      <c r="P20" s="1" t="str">
        <f t="shared" ca="1" si="3"/>
        <v>Good</v>
      </c>
      <c r="Q20" s="1" t="str">
        <f t="shared" si="4"/>
        <v>March</v>
      </c>
      <c r="R20" s="1">
        <f t="shared" ca="1" si="5"/>
        <v>5.434782608695652E-2</v>
      </c>
    </row>
    <row r="21" spans="1:18">
      <c r="A21" s="2">
        <f t="shared" si="14"/>
        <v>46091</v>
      </c>
      <c r="B21" s="1" t="str">
        <f>TEXT(A21,"dddd")</f>
        <v>Tuesday</v>
      </c>
      <c r="C21" s="1" t="str">
        <f>IF(A21&lt;&gt;"","Yes","")</f>
        <v>Yes</v>
      </c>
      <c r="D21" s="1">
        <f t="shared" ca="1" si="6"/>
        <v>100</v>
      </c>
      <c r="E21" s="1">
        <f t="shared" ca="1" si="7"/>
        <v>164</v>
      </c>
      <c r="F21" s="1">
        <f t="shared" ca="1" si="0"/>
        <v>174</v>
      </c>
      <c r="G21" s="1">
        <f t="shared" ca="1" si="8"/>
        <v>10</v>
      </c>
      <c r="H21" s="1">
        <f t="shared" ca="1" si="9"/>
        <v>16400</v>
      </c>
      <c r="I21" s="1">
        <f t="shared" ca="1" si="10"/>
        <v>85</v>
      </c>
      <c r="J21" s="1">
        <f t="shared" ca="1" si="15"/>
        <v>11</v>
      </c>
      <c r="K21" s="1">
        <f t="shared" ca="1" si="11"/>
        <v>2</v>
      </c>
      <c r="L21" s="1">
        <f t="shared" ca="1" si="12"/>
        <v>14442</v>
      </c>
      <c r="M21" s="1">
        <f t="shared" ca="1" si="13"/>
        <v>830</v>
      </c>
      <c r="N21" s="1">
        <f t="shared" si="1"/>
        <v>3</v>
      </c>
      <c r="O21" s="1" t="str">
        <f t="shared" si="2"/>
        <v>Q1</v>
      </c>
      <c r="P21" s="1" t="str">
        <f t="shared" ca="1" si="3"/>
        <v>Needs Attention</v>
      </c>
      <c r="Q21" s="1" t="str">
        <f t="shared" si="4"/>
        <v>March</v>
      </c>
      <c r="R21" s="1">
        <f t="shared" ca="1" si="5"/>
        <v>5.7471264367816091E-2</v>
      </c>
    </row>
    <row r="22" spans="1:18">
      <c r="A22" s="2">
        <f t="shared" si="14"/>
        <v>46094</v>
      </c>
      <c r="B22" s="1" t="str">
        <f>TEXT(A22,"dddd")</f>
        <v>Friday</v>
      </c>
      <c r="C22" s="1" t="str">
        <f>IF(A22&lt;&gt;"","Yes","")</f>
        <v>Yes</v>
      </c>
      <c r="D22" s="1">
        <f t="shared" ca="1" si="6"/>
        <v>110</v>
      </c>
      <c r="E22" s="1">
        <f t="shared" ca="1" si="7"/>
        <v>177</v>
      </c>
      <c r="F22" s="1">
        <f t="shared" ca="1" si="0"/>
        <v>187</v>
      </c>
      <c r="G22" s="1">
        <f t="shared" ca="1" si="8"/>
        <v>9</v>
      </c>
      <c r="H22" s="1">
        <f t="shared" ca="1" si="9"/>
        <v>19470</v>
      </c>
      <c r="I22" s="1">
        <f t="shared" ca="1" si="10"/>
        <v>100</v>
      </c>
      <c r="J22" s="1">
        <f t="shared" ca="1" si="15"/>
        <v>6</v>
      </c>
      <c r="K22" s="1">
        <f t="shared" ca="1" si="11"/>
        <v>0</v>
      </c>
      <c r="L22" s="1">
        <f t="shared" ca="1" si="12"/>
        <v>18700</v>
      </c>
      <c r="M22" s="1">
        <f t="shared" ca="1" si="13"/>
        <v>900</v>
      </c>
      <c r="N22" s="1">
        <f t="shared" si="1"/>
        <v>3</v>
      </c>
      <c r="O22" s="1" t="str">
        <f t="shared" si="2"/>
        <v>Q1</v>
      </c>
      <c r="P22" s="1" t="str">
        <f t="shared" ca="1" si="3"/>
        <v>Good</v>
      </c>
      <c r="Q22" s="1" t="str">
        <f t="shared" si="4"/>
        <v>March</v>
      </c>
      <c r="R22" s="1">
        <f t="shared" ca="1" si="5"/>
        <v>4.8128342245989303E-2</v>
      </c>
    </row>
    <row r="23" spans="1:18">
      <c r="A23" s="2">
        <f t="shared" si="14"/>
        <v>46098</v>
      </c>
      <c r="B23" s="1" t="str">
        <f>TEXT(A23,"dddd")</f>
        <v>Tuesday</v>
      </c>
      <c r="C23" s="1" t="str">
        <f>IF(A23&lt;&gt;"","Yes","")</f>
        <v>Yes</v>
      </c>
      <c r="D23" s="1">
        <f t="shared" ca="1" si="6"/>
        <v>104</v>
      </c>
      <c r="E23" s="1">
        <f t="shared" ca="1" si="7"/>
        <v>156</v>
      </c>
      <c r="F23" s="1">
        <f t="shared" ca="1" si="0"/>
        <v>166</v>
      </c>
      <c r="G23" s="1">
        <f t="shared" ca="1" si="8"/>
        <v>9</v>
      </c>
      <c r="H23" s="1">
        <f t="shared" ca="1" si="9"/>
        <v>16224</v>
      </c>
      <c r="I23" s="1">
        <f t="shared" ca="1" si="10"/>
        <v>103</v>
      </c>
      <c r="J23" s="1">
        <f t="shared" ca="1" si="15"/>
        <v>4</v>
      </c>
      <c r="K23" s="1">
        <f t="shared" ca="1" si="11"/>
        <v>0</v>
      </c>
      <c r="L23" s="1">
        <f t="shared" ca="1" si="12"/>
        <v>17098</v>
      </c>
      <c r="M23" s="1">
        <f t="shared" ca="1" si="13"/>
        <v>927</v>
      </c>
      <c r="N23" s="1">
        <f t="shared" si="1"/>
        <v>3</v>
      </c>
      <c r="O23" s="1" t="str">
        <f t="shared" si="2"/>
        <v>Q1</v>
      </c>
      <c r="P23" s="1" t="str">
        <f t="shared" ca="1" si="3"/>
        <v>Good</v>
      </c>
      <c r="Q23" s="1" t="str">
        <f t="shared" si="4"/>
        <v>March</v>
      </c>
      <c r="R23" s="1">
        <f t="shared" ca="1" si="5"/>
        <v>5.4216867469879519E-2</v>
      </c>
    </row>
    <row r="24" spans="1:18">
      <c r="A24" s="2">
        <f t="shared" si="14"/>
        <v>46101</v>
      </c>
      <c r="B24" s="1" t="str">
        <f>TEXT(A24,"dddd")</f>
        <v>Friday</v>
      </c>
      <c r="C24" s="1" t="str">
        <f>IF(A24&lt;&gt;"","Yes","")</f>
        <v>Yes</v>
      </c>
      <c r="D24" s="1">
        <f t="shared" ca="1" si="6"/>
        <v>101</v>
      </c>
      <c r="E24" s="1">
        <f t="shared" ca="1" si="7"/>
        <v>165</v>
      </c>
      <c r="F24" s="1">
        <f t="shared" ca="1" si="0"/>
        <v>175</v>
      </c>
      <c r="G24" s="1">
        <f t="shared" ca="1" si="8"/>
        <v>8</v>
      </c>
      <c r="H24" s="1">
        <f t="shared" ca="1" si="9"/>
        <v>16665</v>
      </c>
      <c r="I24" s="1">
        <f t="shared" ca="1" si="10"/>
        <v>101</v>
      </c>
      <c r="J24" s="1">
        <f t="shared" ca="1" si="15"/>
        <v>8</v>
      </c>
      <c r="K24" s="1">
        <f t="shared" ca="1" si="11"/>
        <v>3</v>
      </c>
      <c r="L24" s="1">
        <f t="shared" ca="1" si="12"/>
        <v>17150</v>
      </c>
      <c r="M24" s="1">
        <f t="shared" ca="1" si="13"/>
        <v>784</v>
      </c>
      <c r="N24" s="1">
        <f t="shared" si="1"/>
        <v>3</v>
      </c>
      <c r="O24" s="1" t="str">
        <f t="shared" si="2"/>
        <v>Q1</v>
      </c>
      <c r="P24" s="1" t="str">
        <f t="shared" ca="1" si="3"/>
        <v>Needs Attention</v>
      </c>
      <c r="Q24" s="1" t="str">
        <f t="shared" si="4"/>
        <v>March</v>
      </c>
      <c r="R24" s="1">
        <f t="shared" ca="1" si="5"/>
        <v>4.5714285714285714E-2</v>
      </c>
    </row>
    <row r="25" spans="1:18">
      <c r="A25" s="2">
        <f t="shared" si="14"/>
        <v>46105</v>
      </c>
      <c r="B25" s="1" t="str">
        <f>TEXT(A25,"dddd")</f>
        <v>Tuesday</v>
      </c>
      <c r="C25" s="1" t="str">
        <f>IF(A25&lt;&gt;"","Yes","")</f>
        <v>Yes</v>
      </c>
      <c r="D25" s="1">
        <f t="shared" ca="1" si="6"/>
        <v>99</v>
      </c>
      <c r="E25" s="1">
        <f t="shared" ca="1" si="7"/>
        <v>166</v>
      </c>
      <c r="F25" s="1">
        <f t="shared" ca="1" si="0"/>
        <v>176</v>
      </c>
      <c r="G25" s="1">
        <f t="shared" ca="1" si="8"/>
        <v>9</v>
      </c>
      <c r="H25" s="1">
        <f t="shared" ca="1" si="9"/>
        <v>16434</v>
      </c>
      <c r="I25" s="1">
        <f t="shared" ca="1" si="10"/>
        <v>91</v>
      </c>
      <c r="J25" s="1">
        <f t="shared" ca="1" si="15"/>
        <v>5</v>
      </c>
      <c r="K25" s="1">
        <f t="shared" ca="1" si="11"/>
        <v>2</v>
      </c>
      <c r="L25" s="1">
        <f t="shared" ca="1" si="12"/>
        <v>15664</v>
      </c>
      <c r="M25" s="1">
        <f t="shared" ca="1" si="13"/>
        <v>801</v>
      </c>
      <c r="N25" s="1">
        <f t="shared" si="1"/>
        <v>3</v>
      </c>
      <c r="O25" s="1" t="str">
        <f t="shared" si="2"/>
        <v>Q1</v>
      </c>
      <c r="P25" s="1" t="str">
        <f t="shared" ca="1" si="3"/>
        <v>Needs Attention</v>
      </c>
      <c r="Q25" s="1" t="str">
        <f t="shared" si="4"/>
        <v>March</v>
      </c>
      <c r="R25" s="1">
        <f t="shared" ca="1" si="5"/>
        <v>5.113636363636364E-2</v>
      </c>
    </row>
    <row r="26" spans="1:18">
      <c r="A26" s="2">
        <f t="shared" si="14"/>
        <v>46108</v>
      </c>
      <c r="B26" s="1" t="str">
        <f>TEXT(A26,"dddd")</f>
        <v>Friday</v>
      </c>
      <c r="C26" s="1" t="str">
        <f>IF(A26&lt;&gt;"","Yes","")</f>
        <v>Yes</v>
      </c>
      <c r="D26" s="1">
        <f t="shared" ca="1" si="6"/>
        <v>109</v>
      </c>
      <c r="E26" s="1">
        <f t="shared" ca="1" si="7"/>
        <v>175</v>
      </c>
      <c r="F26" s="1">
        <f t="shared" ca="1" si="0"/>
        <v>185</v>
      </c>
      <c r="G26" s="1">
        <f t="shared" ca="1" si="8"/>
        <v>9</v>
      </c>
      <c r="H26" s="1">
        <f t="shared" ca="1" si="9"/>
        <v>19075</v>
      </c>
      <c r="I26" s="1">
        <f t="shared" ca="1" si="10"/>
        <v>97</v>
      </c>
      <c r="J26" s="1">
        <f t="shared" ca="1" si="15"/>
        <v>5</v>
      </c>
      <c r="K26" s="1">
        <f t="shared" ca="1" si="11"/>
        <v>0</v>
      </c>
      <c r="L26" s="1">
        <f t="shared" ca="1" si="12"/>
        <v>17945</v>
      </c>
      <c r="M26" s="1">
        <f t="shared" ca="1" si="13"/>
        <v>873</v>
      </c>
      <c r="N26" s="1">
        <f t="shared" si="1"/>
        <v>3</v>
      </c>
      <c r="O26" s="1" t="str">
        <f t="shared" si="2"/>
        <v>Q1</v>
      </c>
      <c r="P26" s="1" t="str">
        <f t="shared" ca="1" si="3"/>
        <v>Needs Attention</v>
      </c>
      <c r="Q26" s="1" t="str">
        <f t="shared" si="4"/>
        <v>March</v>
      </c>
      <c r="R26" s="1">
        <f t="shared" ca="1" si="5"/>
        <v>4.8648648648648651E-2</v>
      </c>
    </row>
    <row r="27" spans="1:18">
      <c r="A27" s="2">
        <f t="shared" si="14"/>
        <v>46112</v>
      </c>
      <c r="B27" s="1" t="str">
        <f>TEXT(A27,"dddd")</f>
        <v>Tuesday</v>
      </c>
      <c r="C27" s="1" t="str">
        <f>IF(A27&lt;&gt;"","Yes","")</f>
        <v>Yes</v>
      </c>
      <c r="D27" s="1">
        <f t="shared" ca="1" si="6"/>
        <v>90</v>
      </c>
      <c r="E27" s="1">
        <f t="shared" ca="1" si="7"/>
        <v>163</v>
      </c>
      <c r="F27" s="1">
        <f t="shared" ca="1" si="0"/>
        <v>173</v>
      </c>
      <c r="G27" s="1">
        <f t="shared" ca="1" si="8"/>
        <v>9</v>
      </c>
      <c r="H27" s="1">
        <f t="shared" ca="1" si="9"/>
        <v>14670</v>
      </c>
      <c r="I27" s="1">
        <f t="shared" ca="1" si="10"/>
        <v>81</v>
      </c>
      <c r="J27" s="1">
        <f t="shared" ca="1" si="15"/>
        <v>4</v>
      </c>
      <c r="K27" s="1">
        <f t="shared" ca="1" si="11"/>
        <v>1</v>
      </c>
      <c r="L27" s="1">
        <f t="shared" ca="1" si="12"/>
        <v>13840</v>
      </c>
      <c r="M27" s="1">
        <f t="shared" ca="1" si="13"/>
        <v>720</v>
      </c>
      <c r="N27" s="1">
        <f t="shared" si="1"/>
        <v>3</v>
      </c>
      <c r="O27" s="1" t="str">
        <f t="shared" si="2"/>
        <v>Q1</v>
      </c>
      <c r="P27" s="1" t="str">
        <f t="shared" ca="1" si="3"/>
        <v>Needs Attention</v>
      </c>
      <c r="Q27" s="1" t="str">
        <f t="shared" si="4"/>
        <v>March</v>
      </c>
      <c r="R27" s="1">
        <f t="shared" ca="1" si="5"/>
        <v>5.2023121387283239E-2</v>
      </c>
    </row>
    <row r="28" spans="1:18">
      <c r="A28" s="2">
        <f t="shared" si="14"/>
        <v>46115</v>
      </c>
      <c r="B28" s="1" t="str">
        <f>TEXT(A28,"dddd")</f>
        <v>Friday</v>
      </c>
      <c r="C28" s="1" t="str">
        <f>IF(A28&lt;&gt;"","Yes","")</f>
        <v>Yes</v>
      </c>
      <c r="D28" s="1">
        <f t="shared" ca="1" si="6"/>
        <v>112</v>
      </c>
      <c r="E28" s="1">
        <f t="shared" ca="1" si="7"/>
        <v>180</v>
      </c>
      <c r="F28" s="1">
        <f t="shared" ca="1" si="0"/>
        <v>190</v>
      </c>
      <c r="G28" s="1">
        <f t="shared" ca="1" si="8"/>
        <v>9</v>
      </c>
      <c r="H28" s="1">
        <f t="shared" ca="1" si="9"/>
        <v>20160</v>
      </c>
      <c r="I28" s="1">
        <f t="shared" ca="1" si="10"/>
        <v>97</v>
      </c>
      <c r="J28" s="1">
        <f t="shared" ca="1" si="15"/>
        <v>1</v>
      </c>
      <c r="K28" s="1">
        <f t="shared" ca="1" si="11"/>
        <v>0</v>
      </c>
      <c r="L28" s="1">
        <f t="shared" ca="1" si="12"/>
        <v>18430</v>
      </c>
      <c r="M28" s="1">
        <f t="shared" ca="1" si="13"/>
        <v>873</v>
      </c>
      <c r="N28" s="1">
        <f t="shared" si="1"/>
        <v>4</v>
      </c>
      <c r="O28" s="1" t="str">
        <f t="shared" si="2"/>
        <v>Q2</v>
      </c>
      <c r="P28" s="1" t="str">
        <f t="shared" ca="1" si="3"/>
        <v>Needs Attention</v>
      </c>
      <c r="Q28" s="1" t="str">
        <f t="shared" si="4"/>
        <v>April</v>
      </c>
      <c r="R28" s="1">
        <f t="shared" ca="1" si="5"/>
        <v>4.736842105263158E-2</v>
      </c>
    </row>
    <row r="29" spans="1:18">
      <c r="A29" s="2">
        <f t="shared" si="14"/>
        <v>46119</v>
      </c>
      <c r="B29" s="1" t="str">
        <f>TEXT(A29,"dddd")</f>
        <v>Tuesday</v>
      </c>
      <c r="C29" s="1" t="str">
        <f>IF(A29&lt;&gt;"","Yes","")</f>
        <v>Yes</v>
      </c>
      <c r="D29" s="1">
        <f t="shared" ca="1" si="6"/>
        <v>100</v>
      </c>
      <c r="E29" s="1">
        <f t="shared" ca="1" si="7"/>
        <v>160</v>
      </c>
      <c r="F29" s="1">
        <f t="shared" ca="1" si="0"/>
        <v>170</v>
      </c>
      <c r="G29" s="1">
        <f t="shared" ca="1" si="8"/>
        <v>8</v>
      </c>
      <c r="H29" s="1">
        <f t="shared" ca="1" si="9"/>
        <v>16000</v>
      </c>
      <c r="I29" s="1">
        <f t="shared" ca="1" si="10"/>
        <v>99</v>
      </c>
      <c r="J29" s="1">
        <f t="shared" ca="1" si="15"/>
        <v>11</v>
      </c>
      <c r="K29" s="1">
        <f t="shared" ca="1" si="11"/>
        <v>3</v>
      </c>
      <c r="L29" s="1">
        <f t="shared" ca="1" si="12"/>
        <v>16320</v>
      </c>
      <c r="M29" s="1">
        <f t="shared" ca="1" si="13"/>
        <v>768</v>
      </c>
      <c r="N29" s="1">
        <f t="shared" si="1"/>
        <v>4</v>
      </c>
      <c r="O29" s="1" t="str">
        <f t="shared" si="2"/>
        <v>Q2</v>
      </c>
      <c r="P29" s="1" t="str">
        <f t="shared" ca="1" si="3"/>
        <v>Needs Attention</v>
      </c>
      <c r="Q29" s="1" t="str">
        <f t="shared" si="4"/>
        <v>April</v>
      </c>
      <c r="R29" s="1">
        <f t="shared" ca="1" si="5"/>
        <v>4.7058823529411764E-2</v>
      </c>
    </row>
    <row r="30" spans="1:18">
      <c r="A30" s="2">
        <f t="shared" si="14"/>
        <v>46122</v>
      </c>
      <c r="B30" s="1" t="str">
        <f>TEXT(A30,"dddd")</f>
        <v>Friday</v>
      </c>
      <c r="C30" s="1" t="str">
        <f>IF(A30&lt;&gt;"","Yes","")</f>
        <v>Yes</v>
      </c>
      <c r="D30" s="1">
        <f t="shared" ca="1" si="6"/>
        <v>107</v>
      </c>
      <c r="E30" s="1">
        <f t="shared" ca="1" si="7"/>
        <v>167</v>
      </c>
      <c r="F30" s="1">
        <f t="shared" ca="1" si="0"/>
        <v>177</v>
      </c>
      <c r="G30" s="1">
        <f t="shared" ca="1" si="8"/>
        <v>9</v>
      </c>
      <c r="H30" s="1">
        <f t="shared" ca="1" si="9"/>
        <v>17869</v>
      </c>
      <c r="I30" s="1">
        <f t="shared" ca="1" si="10"/>
        <v>95</v>
      </c>
      <c r="J30" s="1">
        <f t="shared" ca="1" si="15"/>
        <v>9</v>
      </c>
      <c r="K30" s="1">
        <f t="shared" ca="1" si="11"/>
        <v>0</v>
      </c>
      <c r="L30" s="1">
        <f t="shared" ca="1" si="12"/>
        <v>16815</v>
      </c>
      <c r="M30" s="1">
        <f t="shared" ca="1" si="13"/>
        <v>855</v>
      </c>
      <c r="N30" s="1">
        <f t="shared" si="1"/>
        <v>4</v>
      </c>
      <c r="O30" s="1" t="str">
        <f t="shared" si="2"/>
        <v>Q2</v>
      </c>
      <c r="P30" s="1" t="str">
        <f t="shared" ca="1" si="3"/>
        <v>Needs Attention</v>
      </c>
      <c r="Q30" s="1" t="str">
        <f t="shared" si="4"/>
        <v>April</v>
      </c>
      <c r="R30" s="1">
        <f t="shared" ca="1" si="5"/>
        <v>5.0847457627118647E-2</v>
      </c>
    </row>
    <row r="31" spans="1:18">
      <c r="A31" s="2">
        <f t="shared" si="14"/>
        <v>46126</v>
      </c>
      <c r="B31" s="1" t="str">
        <f>TEXT(A31,"dddd")</f>
        <v>Tuesday</v>
      </c>
      <c r="C31" s="1" t="str">
        <f>IF(A31&lt;&gt;"","Yes","")</f>
        <v>Yes</v>
      </c>
      <c r="D31" s="1">
        <f t="shared" ca="1" si="6"/>
        <v>96</v>
      </c>
      <c r="E31" s="1">
        <f t="shared" ca="1" si="7"/>
        <v>156</v>
      </c>
      <c r="F31" s="1">
        <f t="shared" ca="1" si="0"/>
        <v>166</v>
      </c>
      <c r="G31" s="1">
        <f t="shared" ca="1" si="8"/>
        <v>10</v>
      </c>
      <c r="H31" s="1">
        <f t="shared" ca="1" si="9"/>
        <v>14976</v>
      </c>
      <c r="I31" s="1">
        <f t="shared" ca="1" si="10"/>
        <v>81</v>
      </c>
      <c r="J31" s="1">
        <f t="shared" ca="1" si="15"/>
        <v>3</v>
      </c>
      <c r="K31" s="1">
        <f t="shared" ca="1" si="11"/>
        <v>3</v>
      </c>
      <c r="L31" s="1">
        <f t="shared" ca="1" si="12"/>
        <v>12948</v>
      </c>
      <c r="M31" s="1">
        <f t="shared" ca="1" si="13"/>
        <v>780</v>
      </c>
      <c r="N31" s="1">
        <f t="shared" si="1"/>
        <v>4</v>
      </c>
      <c r="O31" s="1" t="str">
        <f t="shared" si="2"/>
        <v>Q2</v>
      </c>
      <c r="P31" s="1" t="str">
        <f t="shared" ca="1" si="3"/>
        <v>Needs Attention</v>
      </c>
      <c r="Q31" s="1" t="str">
        <f t="shared" si="4"/>
        <v>April</v>
      </c>
      <c r="R31" s="1">
        <f t="shared" ca="1" si="5"/>
        <v>6.0240963855421686E-2</v>
      </c>
    </row>
    <row r="32" spans="1:18">
      <c r="A32" s="2">
        <f t="shared" si="14"/>
        <v>46129</v>
      </c>
      <c r="B32" s="1" t="str">
        <f>TEXT(A32,"dddd")</f>
        <v>Friday</v>
      </c>
      <c r="C32" s="1" t="str">
        <f>IF(A32&lt;&gt;"","Yes","")</f>
        <v>Yes</v>
      </c>
      <c r="D32" s="1">
        <f t="shared" ca="1" si="6"/>
        <v>103</v>
      </c>
      <c r="E32" s="1">
        <f t="shared" ca="1" si="7"/>
        <v>178</v>
      </c>
      <c r="F32" s="1">
        <f t="shared" ca="1" si="0"/>
        <v>188</v>
      </c>
      <c r="G32" s="1">
        <f t="shared" ca="1" si="8"/>
        <v>9</v>
      </c>
      <c r="H32" s="1">
        <f t="shared" ca="1" si="9"/>
        <v>18334</v>
      </c>
      <c r="I32" s="1">
        <f t="shared" ca="1" si="10"/>
        <v>89</v>
      </c>
      <c r="J32" s="1">
        <f t="shared" ca="1" si="15"/>
        <v>5</v>
      </c>
      <c r="K32" s="1">
        <f t="shared" ca="1" si="11"/>
        <v>1</v>
      </c>
      <c r="L32" s="1">
        <f t="shared" ca="1" si="12"/>
        <v>16544</v>
      </c>
      <c r="M32" s="1">
        <f t="shared" ca="1" si="13"/>
        <v>792</v>
      </c>
      <c r="N32" s="1">
        <f t="shared" si="1"/>
        <v>4</v>
      </c>
      <c r="O32" s="1" t="str">
        <f t="shared" si="2"/>
        <v>Q2</v>
      </c>
      <c r="P32" s="1" t="str">
        <f t="shared" ca="1" si="3"/>
        <v>Needs Attention</v>
      </c>
      <c r="Q32" s="1" t="str">
        <f t="shared" si="4"/>
        <v>April</v>
      </c>
      <c r="R32" s="1">
        <f t="shared" ca="1" si="5"/>
        <v>4.7872340425531915E-2</v>
      </c>
    </row>
    <row r="33" spans="1:18">
      <c r="A33" s="2">
        <f t="shared" si="14"/>
        <v>46133</v>
      </c>
      <c r="B33" s="1" t="str">
        <f>TEXT(A33,"dddd")</f>
        <v>Tuesday</v>
      </c>
      <c r="C33" s="1" t="str">
        <f>IF(A33&lt;&gt;"","Yes","")</f>
        <v>Yes</v>
      </c>
      <c r="D33" s="1">
        <f t="shared" ca="1" si="6"/>
        <v>92</v>
      </c>
      <c r="E33" s="1">
        <f t="shared" ca="1" si="7"/>
        <v>164</v>
      </c>
      <c r="F33" s="1">
        <f t="shared" ca="1" si="0"/>
        <v>174</v>
      </c>
      <c r="G33" s="1">
        <f t="shared" ca="1" si="8"/>
        <v>10</v>
      </c>
      <c r="H33" s="1">
        <f t="shared" ca="1" si="9"/>
        <v>15088</v>
      </c>
      <c r="I33" s="1">
        <f t="shared" ca="1" si="10"/>
        <v>78</v>
      </c>
      <c r="J33" s="1">
        <f t="shared" ca="1" si="15"/>
        <v>13</v>
      </c>
      <c r="K33" s="1">
        <f t="shared" ca="1" si="11"/>
        <v>0</v>
      </c>
      <c r="L33" s="1">
        <f t="shared" ca="1" si="12"/>
        <v>13572</v>
      </c>
      <c r="M33" s="1">
        <f t="shared" ca="1" si="13"/>
        <v>780</v>
      </c>
      <c r="N33" s="1">
        <f t="shared" si="1"/>
        <v>4</v>
      </c>
      <c r="O33" s="1" t="str">
        <f t="shared" si="2"/>
        <v>Q2</v>
      </c>
      <c r="P33" s="1" t="str">
        <f t="shared" ca="1" si="3"/>
        <v>Needs Attention</v>
      </c>
      <c r="Q33" s="1" t="str">
        <f t="shared" si="4"/>
        <v>April</v>
      </c>
      <c r="R33" s="1">
        <f t="shared" ca="1" si="5"/>
        <v>5.7471264367816091E-2</v>
      </c>
    </row>
    <row r="34" spans="1:18">
      <c r="A34" s="2">
        <f t="shared" si="14"/>
        <v>46136</v>
      </c>
      <c r="B34" s="1" t="str">
        <f>TEXT(A34,"dddd")</f>
        <v>Friday</v>
      </c>
      <c r="C34" s="1" t="str">
        <f>IF(A34&lt;&gt;"","Yes","")</f>
        <v>Yes</v>
      </c>
      <c r="D34" s="1">
        <f t="shared" ca="1" si="6"/>
        <v>113</v>
      </c>
      <c r="E34" s="1">
        <f t="shared" ca="1" si="7"/>
        <v>175</v>
      </c>
      <c r="F34" s="1">
        <f t="shared" ca="1" si="0"/>
        <v>185</v>
      </c>
      <c r="G34" s="1">
        <f t="shared" ca="1" si="8"/>
        <v>8</v>
      </c>
      <c r="H34" s="1">
        <f t="shared" ca="1" si="9"/>
        <v>19775</v>
      </c>
      <c r="I34" s="1">
        <f t="shared" ca="1" si="10"/>
        <v>112</v>
      </c>
      <c r="J34" s="1">
        <f t="shared" ca="1" si="15"/>
        <v>10</v>
      </c>
      <c r="K34" s="1">
        <f t="shared" ca="1" si="11"/>
        <v>1</v>
      </c>
      <c r="L34" s="1">
        <f t="shared" ca="1" si="12"/>
        <v>20535</v>
      </c>
      <c r="M34" s="1">
        <f t="shared" ca="1" si="13"/>
        <v>888</v>
      </c>
      <c r="N34" s="1">
        <f t="shared" ref="N34:N65" si="16">MONTH(A34)</f>
        <v>4</v>
      </c>
      <c r="O34" s="1" t="str">
        <f t="shared" ref="O34:O65" si="17">"Q"&amp;ROUNDUP(MONTH(A34)/3,0)</f>
        <v>Q2</v>
      </c>
      <c r="P34" s="1" t="str">
        <f t="shared" ref="P34:P65" ca="1" si="18">IF(M34&gt;=900,"Good","Needs Attention")</f>
        <v>Needs Attention</v>
      </c>
      <c r="Q34" s="1" t="str">
        <f t="shared" ref="Q34:Q65" si="19">TEXT(A34,"mmmm")</f>
        <v>April</v>
      </c>
      <c r="R34" s="1">
        <f t="shared" ref="R34:R65" ca="1" si="20">M34/L34</f>
        <v>4.3243243243243246E-2</v>
      </c>
    </row>
    <row r="35" spans="1:18">
      <c r="A35" s="2">
        <f t="shared" si="14"/>
        <v>46140</v>
      </c>
      <c r="B35" s="1" t="str">
        <f>TEXT(A35,"dddd")</f>
        <v>Tuesday</v>
      </c>
      <c r="C35" s="1" t="str">
        <f>IF(A35&lt;&gt;"","Yes","")</f>
        <v>Yes</v>
      </c>
      <c r="D35" s="1">
        <f t="shared" ca="1" si="6"/>
        <v>95</v>
      </c>
      <c r="E35" s="1">
        <f t="shared" ca="1" si="7"/>
        <v>168</v>
      </c>
      <c r="F35" s="1">
        <f t="shared" ca="1" si="0"/>
        <v>178</v>
      </c>
      <c r="G35" s="1">
        <f t="shared" ca="1" si="8"/>
        <v>9</v>
      </c>
      <c r="H35" s="1">
        <f t="shared" ca="1" si="9"/>
        <v>15960</v>
      </c>
      <c r="I35" s="1">
        <f t="shared" ca="1" si="10"/>
        <v>85</v>
      </c>
      <c r="J35" s="1">
        <f t="shared" ca="1" si="15"/>
        <v>1</v>
      </c>
      <c r="K35" s="1">
        <f t="shared" ca="1" si="11"/>
        <v>1</v>
      </c>
      <c r="L35" s="1">
        <f t="shared" ca="1" si="12"/>
        <v>14952</v>
      </c>
      <c r="M35" s="1">
        <f t="shared" ca="1" si="13"/>
        <v>756</v>
      </c>
      <c r="N35" s="1">
        <f t="shared" si="16"/>
        <v>4</v>
      </c>
      <c r="O35" s="1" t="str">
        <f t="shared" si="17"/>
        <v>Q2</v>
      </c>
      <c r="P35" s="1" t="str">
        <f t="shared" ca="1" si="18"/>
        <v>Needs Attention</v>
      </c>
      <c r="Q35" s="1" t="str">
        <f t="shared" si="19"/>
        <v>April</v>
      </c>
      <c r="R35" s="1">
        <f t="shared" ca="1" si="20"/>
        <v>5.0561797752808987E-2</v>
      </c>
    </row>
    <row r="36" spans="1:18">
      <c r="A36" s="2">
        <f t="shared" si="14"/>
        <v>46143</v>
      </c>
      <c r="B36" s="1" t="str">
        <f>TEXT(A36,"dddd")</f>
        <v>Friday</v>
      </c>
      <c r="C36" s="1" t="str">
        <f>IF(A36&lt;&gt;"","Yes","")</f>
        <v>Yes</v>
      </c>
      <c r="D36" s="1">
        <f t="shared" ca="1" si="6"/>
        <v>102</v>
      </c>
      <c r="E36" s="1">
        <f t="shared" ca="1" si="7"/>
        <v>178</v>
      </c>
      <c r="F36" s="1">
        <f t="shared" ca="1" si="0"/>
        <v>188</v>
      </c>
      <c r="G36" s="1">
        <f t="shared" ca="1" si="8"/>
        <v>8</v>
      </c>
      <c r="H36" s="1">
        <f t="shared" ca="1" si="9"/>
        <v>18156</v>
      </c>
      <c r="I36" s="1">
        <f t="shared" ca="1" si="10"/>
        <v>91</v>
      </c>
      <c r="J36" s="1">
        <f t="shared" ca="1" si="15"/>
        <v>-3</v>
      </c>
      <c r="K36" s="1">
        <f t="shared" ca="1" si="11"/>
        <v>3</v>
      </c>
      <c r="L36" s="1">
        <f t="shared" ca="1" si="12"/>
        <v>16544</v>
      </c>
      <c r="M36" s="1">
        <f t="shared" ca="1" si="13"/>
        <v>704</v>
      </c>
      <c r="N36" s="1">
        <f t="shared" si="16"/>
        <v>5</v>
      </c>
      <c r="O36" s="1" t="str">
        <f t="shared" si="17"/>
        <v>Q2</v>
      </c>
      <c r="P36" s="1" t="str">
        <f t="shared" ca="1" si="18"/>
        <v>Needs Attention</v>
      </c>
      <c r="Q36" s="1" t="str">
        <f t="shared" si="19"/>
        <v>May</v>
      </c>
      <c r="R36" s="1">
        <f t="shared" ca="1" si="20"/>
        <v>4.2553191489361701E-2</v>
      </c>
    </row>
    <row r="37" spans="1:18">
      <c r="A37" s="2">
        <f t="shared" si="14"/>
        <v>46147</v>
      </c>
      <c r="B37" s="1" t="str">
        <f>TEXT(A37,"dddd")</f>
        <v>Tuesday</v>
      </c>
      <c r="C37" s="1" t="str">
        <f>IF(A37&lt;&gt;"","Yes","")</f>
        <v>Yes</v>
      </c>
      <c r="D37" s="1">
        <f t="shared" ca="1" si="6"/>
        <v>100</v>
      </c>
      <c r="E37" s="1">
        <f t="shared" ca="1" si="7"/>
        <v>170</v>
      </c>
      <c r="F37" s="1">
        <f t="shared" ca="1" si="0"/>
        <v>180</v>
      </c>
      <c r="G37" s="1">
        <f t="shared" ca="1" si="8"/>
        <v>8</v>
      </c>
      <c r="H37" s="1">
        <f t="shared" ca="1" si="9"/>
        <v>17000</v>
      </c>
      <c r="I37" s="1">
        <f t="shared" ca="1" si="10"/>
        <v>87</v>
      </c>
      <c r="J37" s="1">
        <f t="shared" ca="1" si="15"/>
        <v>6</v>
      </c>
      <c r="K37" s="1">
        <f t="shared" ca="1" si="11"/>
        <v>1</v>
      </c>
      <c r="L37" s="1">
        <f t="shared" ca="1" si="12"/>
        <v>15480</v>
      </c>
      <c r="M37" s="1">
        <f t="shared" ca="1" si="13"/>
        <v>688</v>
      </c>
      <c r="N37" s="1">
        <f t="shared" si="16"/>
        <v>5</v>
      </c>
      <c r="O37" s="1" t="str">
        <f t="shared" si="17"/>
        <v>Q2</v>
      </c>
      <c r="P37" s="1" t="str">
        <f t="shared" ca="1" si="18"/>
        <v>Needs Attention</v>
      </c>
      <c r="Q37" s="1" t="str">
        <f t="shared" si="19"/>
        <v>May</v>
      </c>
      <c r="R37" s="1">
        <f t="shared" ca="1" si="20"/>
        <v>4.4444444444444446E-2</v>
      </c>
    </row>
    <row r="38" spans="1:18">
      <c r="A38" s="2">
        <f t="shared" si="14"/>
        <v>46150</v>
      </c>
      <c r="B38" s="1" t="str">
        <f>TEXT(A38,"dddd")</f>
        <v>Friday</v>
      </c>
      <c r="C38" s="1" t="str">
        <f>IF(A38&lt;&gt;"","Yes","")</f>
        <v>Yes</v>
      </c>
      <c r="D38" s="1">
        <f t="shared" ca="1" si="6"/>
        <v>110</v>
      </c>
      <c r="E38" s="1">
        <f t="shared" ca="1" si="7"/>
        <v>177</v>
      </c>
      <c r="F38" s="1">
        <f t="shared" ca="1" si="0"/>
        <v>187</v>
      </c>
      <c r="G38" s="1">
        <f t="shared" ca="1" si="8"/>
        <v>9</v>
      </c>
      <c r="H38" s="1">
        <f t="shared" ca="1" si="9"/>
        <v>19470</v>
      </c>
      <c r="I38" s="1">
        <f t="shared" ca="1" si="10"/>
        <v>95</v>
      </c>
      <c r="J38" s="1">
        <f t="shared" ca="1" si="15"/>
        <v>12</v>
      </c>
      <c r="K38" s="1">
        <f t="shared" ca="1" si="11"/>
        <v>2</v>
      </c>
      <c r="L38" s="1">
        <f t="shared" ca="1" si="12"/>
        <v>17391</v>
      </c>
      <c r="M38" s="1">
        <f t="shared" ca="1" si="13"/>
        <v>837</v>
      </c>
      <c r="N38" s="1">
        <f t="shared" si="16"/>
        <v>5</v>
      </c>
      <c r="O38" s="1" t="str">
        <f t="shared" si="17"/>
        <v>Q2</v>
      </c>
      <c r="P38" s="1" t="str">
        <f t="shared" ca="1" si="18"/>
        <v>Needs Attention</v>
      </c>
      <c r="Q38" s="1" t="str">
        <f t="shared" si="19"/>
        <v>May</v>
      </c>
      <c r="R38" s="1">
        <f t="shared" ca="1" si="20"/>
        <v>4.8128342245989303E-2</v>
      </c>
    </row>
    <row r="39" spans="1:18">
      <c r="A39" s="2">
        <f t="shared" si="14"/>
        <v>46154</v>
      </c>
      <c r="B39" s="1" t="str">
        <f>TEXT(A39,"dddd")</f>
        <v>Tuesday</v>
      </c>
      <c r="C39" s="1" t="str">
        <f>IF(A39&lt;&gt;"","Yes","")</f>
        <v>Yes</v>
      </c>
      <c r="D39" s="1">
        <f t="shared" ca="1" si="6"/>
        <v>91</v>
      </c>
      <c r="E39" s="1">
        <f t="shared" ca="1" si="7"/>
        <v>156</v>
      </c>
      <c r="F39" s="1">
        <f t="shared" ca="1" si="0"/>
        <v>166</v>
      </c>
      <c r="G39" s="1">
        <f t="shared" ca="1" si="8"/>
        <v>10</v>
      </c>
      <c r="H39" s="1">
        <f t="shared" ca="1" si="9"/>
        <v>14196</v>
      </c>
      <c r="I39" s="1">
        <f t="shared" ca="1" si="10"/>
        <v>82</v>
      </c>
      <c r="J39" s="1">
        <f t="shared" ca="1" si="15"/>
        <v>8</v>
      </c>
      <c r="K39" s="1">
        <f t="shared" ca="1" si="11"/>
        <v>3</v>
      </c>
      <c r="L39" s="1">
        <f t="shared" ca="1" si="12"/>
        <v>13114</v>
      </c>
      <c r="M39" s="1">
        <f t="shared" ca="1" si="13"/>
        <v>790</v>
      </c>
      <c r="N39" s="1">
        <f t="shared" si="16"/>
        <v>5</v>
      </c>
      <c r="O39" s="1" t="str">
        <f t="shared" si="17"/>
        <v>Q2</v>
      </c>
      <c r="P39" s="1" t="str">
        <f t="shared" ca="1" si="18"/>
        <v>Needs Attention</v>
      </c>
      <c r="Q39" s="1" t="str">
        <f t="shared" si="19"/>
        <v>May</v>
      </c>
      <c r="R39" s="1">
        <f t="shared" ca="1" si="20"/>
        <v>6.0240963855421686E-2</v>
      </c>
    </row>
    <row r="40" spans="1:18">
      <c r="A40" s="2">
        <f t="shared" si="14"/>
        <v>46157</v>
      </c>
      <c r="B40" s="1" t="str">
        <f>TEXT(A40,"dddd")</f>
        <v>Friday</v>
      </c>
      <c r="C40" s="1" t="str">
        <f>IF(A40&lt;&gt;"","Yes","")</f>
        <v>Yes</v>
      </c>
      <c r="D40" s="1">
        <f t="shared" ca="1" si="6"/>
        <v>106</v>
      </c>
      <c r="E40" s="1">
        <f t="shared" ca="1" si="7"/>
        <v>165</v>
      </c>
      <c r="F40" s="1">
        <f t="shared" ca="1" si="0"/>
        <v>175</v>
      </c>
      <c r="G40" s="1">
        <f t="shared" ca="1" si="8"/>
        <v>9</v>
      </c>
      <c r="H40" s="1">
        <f t="shared" ca="1" si="9"/>
        <v>17490</v>
      </c>
      <c r="I40" s="1">
        <f t="shared" ca="1" si="10"/>
        <v>102</v>
      </c>
      <c r="J40" s="1">
        <f t="shared" ca="1" si="15"/>
        <v>15</v>
      </c>
      <c r="K40" s="1">
        <f t="shared" ca="1" si="11"/>
        <v>2</v>
      </c>
      <c r="L40" s="1">
        <f t="shared" ca="1" si="12"/>
        <v>17500</v>
      </c>
      <c r="M40" s="1">
        <f t="shared" ca="1" si="13"/>
        <v>900</v>
      </c>
      <c r="N40" s="1">
        <f t="shared" si="16"/>
        <v>5</v>
      </c>
      <c r="O40" s="1" t="str">
        <f t="shared" si="17"/>
        <v>Q2</v>
      </c>
      <c r="P40" s="1" t="str">
        <f t="shared" ca="1" si="18"/>
        <v>Good</v>
      </c>
      <c r="Q40" s="1" t="str">
        <f t="shared" si="19"/>
        <v>May</v>
      </c>
      <c r="R40" s="1">
        <f t="shared" ca="1" si="20"/>
        <v>5.1428571428571428E-2</v>
      </c>
    </row>
    <row r="41" spans="1:18">
      <c r="A41" s="2">
        <f t="shared" si="14"/>
        <v>46161</v>
      </c>
      <c r="B41" s="1" t="str">
        <f>TEXT(A41,"dddd")</f>
        <v>Tuesday</v>
      </c>
      <c r="C41" s="1" t="str">
        <f>IF(A41&lt;&gt;"","Yes","")</f>
        <v>Yes</v>
      </c>
      <c r="D41" s="1">
        <f t="shared" ca="1" si="6"/>
        <v>104</v>
      </c>
      <c r="E41" s="1">
        <f t="shared" ca="1" si="7"/>
        <v>168</v>
      </c>
      <c r="F41" s="1">
        <f t="shared" ca="1" si="0"/>
        <v>178</v>
      </c>
      <c r="G41" s="1">
        <f t="shared" ca="1" si="8"/>
        <v>8</v>
      </c>
      <c r="H41" s="1">
        <f t="shared" ca="1" si="9"/>
        <v>17472</v>
      </c>
      <c r="I41" s="1">
        <f t="shared" ca="1" si="10"/>
        <v>96</v>
      </c>
      <c r="J41" s="1">
        <f t="shared" ca="1" si="15"/>
        <v>-2</v>
      </c>
      <c r="K41" s="1">
        <f t="shared" ca="1" si="11"/>
        <v>0</v>
      </c>
      <c r="L41" s="1">
        <f t="shared" ca="1" si="12"/>
        <v>17088</v>
      </c>
      <c r="M41" s="1">
        <f t="shared" ca="1" si="13"/>
        <v>768</v>
      </c>
      <c r="N41" s="1">
        <f t="shared" si="16"/>
        <v>5</v>
      </c>
      <c r="O41" s="1" t="str">
        <f t="shared" si="17"/>
        <v>Q2</v>
      </c>
      <c r="P41" s="1" t="str">
        <f t="shared" ca="1" si="18"/>
        <v>Needs Attention</v>
      </c>
      <c r="Q41" s="1" t="str">
        <f t="shared" si="19"/>
        <v>May</v>
      </c>
      <c r="R41" s="1">
        <f t="shared" ca="1" si="20"/>
        <v>4.49438202247191E-2</v>
      </c>
    </row>
    <row r="42" spans="1:18">
      <c r="A42" s="2">
        <f t="shared" si="14"/>
        <v>46164</v>
      </c>
      <c r="B42" s="1" t="str">
        <f>TEXT(A42,"dddd")</f>
        <v>Friday</v>
      </c>
      <c r="C42" s="1" t="str">
        <f>IF(A42&lt;&gt;"","Yes","")</f>
        <v>Yes</v>
      </c>
      <c r="D42" s="1">
        <f t="shared" ca="1" si="6"/>
        <v>112</v>
      </c>
      <c r="E42" s="1">
        <f t="shared" ca="1" si="7"/>
        <v>175</v>
      </c>
      <c r="F42" s="1">
        <f t="shared" ca="1" si="0"/>
        <v>185</v>
      </c>
      <c r="G42" s="1">
        <f t="shared" ca="1" si="8"/>
        <v>9</v>
      </c>
      <c r="H42" s="1">
        <f t="shared" ca="1" si="9"/>
        <v>19600</v>
      </c>
      <c r="I42" s="1">
        <f t="shared" ca="1" si="10"/>
        <v>108</v>
      </c>
      <c r="J42" s="1">
        <f t="shared" ca="1" si="15"/>
        <v>12</v>
      </c>
      <c r="K42" s="1">
        <f t="shared" ca="1" si="11"/>
        <v>3</v>
      </c>
      <c r="L42" s="1">
        <f t="shared" ca="1" si="12"/>
        <v>19425</v>
      </c>
      <c r="M42" s="1">
        <f t="shared" ca="1" si="13"/>
        <v>945</v>
      </c>
      <c r="N42" s="1">
        <f t="shared" si="16"/>
        <v>5</v>
      </c>
      <c r="O42" s="1" t="str">
        <f t="shared" si="17"/>
        <v>Q2</v>
      </c>
      <c r="P42" s="1" t="str">
        <f t="shared" ca="1" si="18"/>
        <v>Good</v>
      </c>
      <c r="Q42" s="1" t="str">
        <f t="shared" si="19"/>
        <v>May</v>
      </c>
      <c r="R42" s="1">
        <f t="shared" ca="1" si="20"/>
        <v>4.8648648648648651E-2</v>
      </c>
    </row>
    <row r="43" spans="1:18">
      <c r="A43" s="2">
        <f t="shared" si="14"/>
        <v>46168</v>
      </c>
      <c r="B43" s="1" t="str">
        <f>TEXT(A43,"dddd")</f>
        <v>Tuesday</v>
      </c>
      <c r="C43" s="1" t="str">
        <f>IF(A43&lt;&gt;"","Yes","")</f>
        <v>Yes</v>
      </c>
      <c r="D43" s="1">
        <f t="shared" ca="1" si="6"/>
        <v>100</v>
      </c>
      <c r="E43" s="1">
        <f t="shared" ca="1" si="7"/>
        <v>167</v>
      </c>
      <c r="F43" s="1">
        <f t="shared" ca="1" si="0"/>
        <v>177</v>
      </c>
      <c r="G43" s="1">
        <f t="shared" ca="1" si="8"/>
        <v>8</v>
      </c>
      <c r="H43" s="1">
        <f t="shared" ca="1" si="9"/>
        <v>16700</v>
      </c>
      <c r="I43" s="1">
        <f t="shared" ca="1" si="10"/>
        <v>95</v>
      </c>
      <c r="J43" s="1">
        <f t="shared" ca="1" si="15"/>
        <v>12</v>
      </c>
      <c r="K43" s="1">
        <f t="shared" ca="1" si="11"/>
        <v>3</v>
      </c>
      <c r="L43" s="1">
        <f t="shared" ca="1" si="12"/>
        <v>16284</v>
      </c>
      <c r="M43" s="1">
        <f t="shared" ca="1" si="13"/>
        <v>736</v>
      </c>
      <c r="N43" s="1">
        <f t="shared" si="16"/>
        <v>5</v>
      </c>
      <c r="O43" s="1" t="str">
        <f t="shared" si="17"/>
        <v>Q2</v>
      </c>
      <c r="P43" s="1" t="str">
        <f t="shared" ca="1" si="18"/>
        <v>Needs Attention</v>
      </c>
      <c r="Q43" s="1" t="str">
        <f t="shared" si="19"/>
        <v>May</v>
      </c>
      <c r="R43" s="1">
        <f t="shared" ca="1" si="20"/>
        <v>4.519774011299435E-2</v>
      </c>
    </row>
    <row r="44" spans="1:18">
      <c r="A44" s="2">
        <f t="shared" si="14"/>
        <v>46171</v>
      </c>
      <c r="B44" s="1" t="str">
        <f>TEXT(A44,"dddd")</f>
        <v>Friday</v>
      </c>
      <c r="C44" s="1" t="str">
        <f>IF(A44&lt;&gt;"","Yes","")</f>
        <v>Yes</v>
      </c>
      <c r="D44" s="1">
        <f t="shared" ca="1" si="6"/>
        <v>103</v>
      </c>
      <c r="E44" s="1">
        <f t="shared" ca="1" si="7"/>
        <v>169</v>
      </c>
      <c r="F44" s="1">
        <f t="shared" ca="1" si="0"/>
        <v>179</v>
      </c>
      <c r="G44" s="1">
        <f t="shared" ca="1" si="8"/>
        <v>9</v>
      </c>
      <c r="H44" s="1">
        <f t="shared" ca="1" si="9"/>
        <v>17407</v>
      </c>
      <c r="I44" s="1">
        <f t="shared" ca="1" si="10"/>
        <v>96</v>
      </c>
      <c r="J44" s="1">
        <f t="shared" ca="1" si="15"/>
        <v>13</v>
      </c>
      <c r="K44" s="1">
        <f t="shared" ca="1" si="11"/>
        <v>3</v>
      </c>
      <c r="L44" s="1">
        <f t="shared" ca="1" si="12"/>
        <v>16647</v>
      </c>
      <c r="M44" s="1">
        <f t="shared" ca="1" si="13"/>
        <v>837</v>
      </c>
      <c r="N44" s="1">
        <f t="shared" si="16"/>
        <v>5</v>
      </c>
      <c r="O44" s="1" t="str">
        <f t="shared" si="17"/>
        <v>Q2</v>
      </c>
      <c r="P44" s="1" t="str">
        <f t="shared" ca="1" si="18"/>
        <v>Needs Attention</v>
      </c>
      <c r="Q44" s="1" t="str">
        <f t="shared" si="19"/>
        <v>May</v>
      </c>
      <c r="R44" s="1">
        <f t="shared" ca="1" si="20"/>
        <v>5.027932960893855E-2</v>
      </c>
    </row>
    <row r="45" spans="1:18">
      <c r="A45" s="2">
        <f t="shared" si="14"/>
        <v>46175</v>
      </c>
      <c r="B45" s="1" t="str">
        <f>TEXT(A45,"dddd")</f>
        <v>Tuesday</v>
      </c>
      <c r="C45" s="1" t="str">
        <f>IF(A45&lt;&gt;"","Yes","")</f>
        <v>Yes</v>
      </c>
      <c r="D45" s="1">
        <f t="shared" ca="1" si="6"/>
        <v>91</v>
      </c>
      <c r="E45" s="1">
        <f t="shared" ca="1" si="7"/>
        <v>163</v>
      </c>
      <c r="F45" s="1">
        <f t="shared" ca="1" si="0"/>
        <v>173</v>
      </c>
      <c r="G45" s="1">
        <f t="shared" ca="1" si="8"/>
        <v>10</v>
      </c>
      <c r="H45" s="1">
        <f t="shared" ca="1" si="9"/>
        <v>14833</v>
      </c>
      <c r="I45" s="1">
        <f t="shared" ca="1" si="10"/>
        <v>84</v>
      </c>
      <c r="J45" s="1">
        <f t="shared" ca="1" si="15"/>
        <v>14</v>
      </c>
      <c r="K45" s="1">
        <f t="shared" ca="1" si="11"/>
        <v>1</v>
      </c>
      <c r="L45" s="1">
        <f t="shared" ca="1" si="12"/>
        <v>14359</v>
      </c>
      <c r="M45" s="1">
        <f t="shared" ca="1" si="13"/>
        <v>830</v>
      </c>
      <c r="N45" s="1">
        <f t="shared" si="16"/>
        <v>6</v>
      </c>
      <c r="O45" s="1" t="str">
        <f t="shared" si="17"/>
        <v>Q2</v>
      </c>
      <c r="P45" s="1" t="str">
        <f t="shared" ca="1" si="18"/>
        <v>Needs Attention</v>
      </c>
      <c r="Q45" s="1" t="str">
        <f t="shared" si="19"/>
        <v>June</v>
      </c>
      <c r="R45" s="1">
        <f t="shared" ca="1" si="20"/>
        <v>5.7803468208092484E-2</v>
      </c>
    </row>
    <row r="46" spans="1:18">
      <c r="A46" s="2">
        <f t="shared" si="14"/>
        <v>46178</v>
      </c>
      <c r="B46" s="1" t="str">
        <f>TEXT(A46,"dddd")</f>
        <v>Friday</v>
      </c>
      <c r="C46" s="1" t="str">
        <f>IF(A46&lt;&gt;"","Yes","")</f>
        <v>Yes</v>
      </c>
      <c r="D46" s="1">
        <f t="shared" ca="1" si="6"/>
        <v>108</v>
      </c>
      <c r="E46" s="1">
        <f t="shared" ca="1" si="7"/>
        <v>175</v>
      </c>
      <c r="F46" s="1">
        <f t="shared" ca="1" si="0"/>
        <v>185</v>
      </c>
      <c r="G46" s="1">
        <f t="shared" ca="1" si="8"/>
        <v>10</v>
      </c>
      <c r="H46" s="1">
        <f t="shared" ca="1" si="9"/>
        <v>18900</v>
      </c>
      <c r="I46" s="1">
        <f t="shared" ca="1" si="10"/>
        <v>104</v>
      </c>
      <c r="J46" s="1">
        <f t="shared" ca="1" si="15"/>
        <v>0</v>
      </c>
      <c r="K46" s="1">
        <f t="shared" ca="1" si="11"/>
        <v>3</v>
      </c>
      <c r="L46" s="1">
        <f t="shared" ca="1" si="12"/>
        <v>18685</v>
      </c>
      <c r="M46" s="1">
        <f t="shared" ca="1" si="13"/>
        <v>1010</v>
      </c>
      <c r="N46" s="1">
        <f t="shared" si="16"/>
        <v>6</v>
      </c>
      <c r="O46" s="1" t="str">
        <f t="shared" si="17"/>
        <v>Q2</v>
      </c>
      <c r="P46" s="1" t="str">
        <f t="shared" ca="1" si="18"/>
        <v>Good</v>
      </c>
      <c r="Q46" s="1" t="str">
        <f t="shared" si="19"/>
        <v>June</v>
      </c>
      <c r="R46" s="1">
        <f t="shared" ca="1" si="20"/>
        <v>5.4054054054054057E-2</v>
      </c>
    </row>
    <row r="47" spans="1:18">
      <c r="A47" s="2">
        <f t="shared" si="14"/>
        <v>46182</v>
      </c>
      <c r="B47" s="1" t="str">
        <f>TEXT(A47,"dddd")</f>
        <v>Tuesday</v>
      </c>
      <c r="C47" s="1" t="str">
        <f>IF(A47&lt;&gt;"","Yes","")</f>
        <v>Yes</v>
      </c>
      <c r="D47" s="1">
        <f t="shared" ca="1" si="6"/>
        <v>105</v>
      </c>
      <c r="E47" s="1">
        <f t="shared" ca="1" si="7"/>
        <v>159</v>
      </c>
      <c r="F47" s="1">
        <f t="shared" ca="1" si="0"/>
        <v>169</v>
      </c>
      <c r="G47" s="1">
        <f t="shared" ca="1" si="8"/>
        <v>8</v>
      </c>
      <c r="H47" s="1">
        <f t="shared" ca="1" si="9"/>
        <v>16695</v>
      </c>
      <c r="I47" s="1">
        <f t="shared" ca="1" si="10"/>
        <v>96</v>
      </c>
      <c r="J47" s="1">
        <f t="shared" ca="1" si="15"/>
        <v>9</v>
      </c>
      <c r="K47" s="1">
        <f t="shared" ca="1" si="11"/>
        <v>3</v>
      </c>
      <c r="L47" s="1">
        <f t="shared" ca="1" si="12"/>
        <v>15717</v>
      </c>
      <c r="M47" s="1">
        <f t="shared" ca="1" si="13"/>
        <v>744</v>
      </c>
      <c r="N47" s="1">
        <f t="shared" si="16"/>
        <v>6</v>
      </c>
      <c r="O47" s="1" t="str">
        <f t="shared" si="17"/>
        <v>Q2</v>
      </c>
      <c r="P47" s="1" t="str">
        <f t="shared" ca="1" si="18"/>
        <v>Needs Attention</v>
      </c>
      <c r="Q47" s="1" t="str">
        <f t="shared" si="19"/>
        <v>June</v>
      </c>
      <c r="R47" s="1">
        <f t="shared" ca="1" si="20"/>
        <v>4.7337278106508875E-2</v>
      </c>
    </row>
    <row r="48" spans="1:18">
      <c r="A48" s="2">
        <f t="shared" si="14"/>
        <v>46185</v>
      </c>
      <c r="B48" s="1" t="str">
        <f>TEXT(A48,"dddd")</f>
        <v>Friday</v>
      </c>
      <c r="C48" s="1" t="str">
        <f>IF(A48&lt;&gt;"","Yes","")</f>
        <v>Yes</v>
      </c>
      <c r="D48" s="1">
        <f t="shared" ca="1" si="6"/>
        <v>100</v>
      </c>
      <c r="E48" s="1">
        <f t="shared" ca="1" si="7"/>
        <v>166</v>
      </c>
      <c r="F48" s="1">
        <f t="shared" ca="1" si="0"/>
        <v>176</v>
      </c>
      <c r="G48" s="1">
        <f t="shared" ca="1" si="8"/>
        <v>10</v>
      </c>
      <c r="H48" s="1">
        <f t="shared" ca="1" si="9"/>
        <v>16600</v>
      </c>
      <c r="I48" s="1">
        <f t="shared" ca="1" si="10"/>
        <v>96</v>
      </c>
      <c r="J48" s="1">
        <f t="shared" ca="1" si="15"/>
        <v>8</v>
      </c>
      <c r="K48" s="1">
        <f t="shared" ca="1" si="11"/>
        <v>2</v>
      </c>
      <c r="L48" s="1">
        <f t="shared" ca="1" si="12"/>
        <v>16544</v>
      </c>
      <c r="M48" s="1">
        <f t="shared" ca="1" si="13"/>
        <v>940</v>
      </c>
      <c r="N48" s="1">
        <f t="shared" si="16"/>
        <v>6</v>
      </c>
      <c r="O48" s="1" t="str">
        <f t="shared" si="17"/>
        <v>Q2</v>
      </c>
      <c r="P48" s="1" t="str">
        <f t="shared" ca="1" si="18"/>
        <v>Good</v>
      </c>
      <c r="Q48" s="1" t="str">
        <f t="shared" si="19"/>
        <v>June</v>
      </c>
      <c r="R48" s="1">
        <f t="shared" ca="1" si="20"/>
        <v>5.6818181818181816E-2</v>
      </c>
    </row>
    <row r="49" spans="1:18">
      <c r="A49" s="2">
        <f t="shared" si="14"/>
        <v>46189</v>
      </c>
      <c r="B49" s="1" t="str">
        <f>TEXT(A49,"dddd")</f>
        <v>Tuesday</v>
      </c>
      <c r="C49" s="1" t="str">
        <f>IF(A49&lt;&gt;"","Yes","")</f>
        <v>Yes</v>
      </c>
      <c r="D49" s="1">
        <f t="shared" ca="1" si="6"/>
        <v>105</v>
      </c>
      <c r="E49" s="1">
        <f t="shared" ca="1" si="7"/>
        <v>160</v>
      </c>
      <c r="F49" s="1">
        <f t="shared" ca="1" si="0"/>
        <v>170</v>
      </c>
      <c r="G49" s="1">
        <f t="shared" ca="1" si="8"/>
        <v>8</v>
      </c>
      <c r="H49" s="1">
        <f t="shared" ca="1" si="9"/>
        <v>16800</v>
      </c>
      <c r="I49" s="1">
        <f t="shared" ca="1" si="10"/>
        <v>105</v>
      </c>
      <c r="J49" s="1">
        <f t="shared" ca="1" si="15"/>
        <v>12</v>
      </c>
      <c r="K49" s="1">
        <f t="shared" ca="1" si="11"/>
        <v>1</v>
      </c>
      <c r="L49" s="1">
        <f t="shared" ca="1" si="12"/>
        <v>17680</v>
      </c>
      <c r="M49" s="1">
        <f t="shared" ca="1" si="13"/>
        <v>832</v>
      </c>
      <c r="N49" s="1">
        <f t="shared" si="16"/>
        <v>6</v>
      </c>
      <c r="O49" s="1" t="str">
        <f t="shared" si="17"/>
        <v>Q2</v>
      </c>
      <c r="P49" s="1" t="str">
        <f t="shared" ca="1" si="18"/>
        <v>Needs Attention</v>
      </c>
      <c r="Q49" s="1" t="str">
        <f t="shared" si="19"/>
        <v>June</v>
      </c>
      <c r="R49" s="1">
        <f t="shared" ca="1" si="20"/>
        <v>4.7058823529411764E-2</v>
      </c>
    </row>
    <row r="50" spans="1:18">
      <c r="A50" s="2">
        <f t="shared" si="14"/>
        <v>46192</v>
      </c>
      <c r="B50" s="1" t="str">
        <f>TEXT(A50,"dddd")</f>
        <v>Friday</v>
      </c>
      <c r="C50" s="1" t="str">
        <f>IF(A50&lt;&gt;"","Yes","")</f>
        <v>Yes</v>
      </c>
      <c r="D50" s="1">
        <f t="shared" ca="1" si="6"/>
        <v>111</v>
      </c>
      <c r="E50" s="1">
        <f t="shared" ca="1" si="7"/>
        <v>175</v>
      </c>
      <c r="F50" s="1">
        <f t="shared" ca="1" si="0"/>
        <v>185</v>
      </c>
      <c r="G50" s="1">
        <f t="shared" ca="1" si="8"/>
        <v>10</v>
      </c>
      <c r="H50" s="1">
        <f t="shared" ca="1" si="9"/>
        <v>19425</v>
      </c>
      <c r="I50" s="1">
        <f t="shared" ca="1" si="10"/>
        <v>101</v>
      </c>
      <c r="J50" s="1">
        <f t="shared" ca="1" si="15"/>
        <v>13</v>
      </c>
      <c r="K50" s="1">
        <f t="shared" ca="1" si="11"/>
        <v>3</v>
      </c>
      <c r="L50" s="1">
        <f t="shared" ca="1" si="12"/>
        <v>18130</v>
      </c>
      <c r="M50" s="1">
        <f t="shared" ca="1" si="13"/>
        <v>980</v>
      </c>
      <c r="N50" s="1">
        <f t="shared" si="16"/>
        <v>6</v>
      </c>
      <c r="O50" s="1" t="str">
        <f t="shared" si="17"/>
        <v>Q2</v>
      </c>
      <c r="P50" s="1" t="str">
        <f t="shared" ca="1" si="18"/>
        <v>Good</v>
      </c>
      <c r="Q50" s="1" t="str">
        <f t="shared" si="19"/>
        <v>June</v>
      </c>
      <c r="R50" s="1">
        <f t="shared" ca="1" si="20"/>
        <v>5.4054054054054057E-2</v>
      </c>
    </row>
    <row r="51" spans="1:18">
      <c r="A51" s="2">
        <f t="shared" si="14"/>
        <v>46196</v>
      </c>
      <c r="B51" s="1" t="str">
        <f>TEXT(A51,"dddd")</f>
        <v>Tuesday</v>
      </c>
      <c r="C51" s="1" t="str">
        <f>IF(A51&lt;&gt;"","Yes","")</f>
        <v>Yes</v>
      </c>
      <c r="D51" s="1">
        <f t="shared" ca="1" si="6"/>
        <v>101</v>
      </c>
      <c r="E51" s="1">
        <f t="shared" ca="1" si="7"/>
        <v>168</v>
      </c>
      <c r="F51" s="1">
        <f t="shared" ca="1" si="0"/>
        <v>178</v>
      </c>
      <c r="G51" s="1">
        <f t="shared" ca="1" si="8"/>
        <v>9</v>
      </c>
      <c r="H51" s="1">
        <f t="shared" ca="1" si="9"/>
        <v>16968</v>
      </c>
      <c r="I51" s="1">
        <f t="shared" ca="1" si="10"/>
        <v>91</v>
      </c>
      <c r="J51" s="1">
        <f t="shared" ca="1" si="15"/>
        <v>6</v>
      </c>
      <c r="K51" s="1">
        <f t="shared" ca="1" si="11"/>
        <v>2</v>
      </c>
      <c r="L51" s="1">
        <f t="shared" ca="1" si="12"/>
        <v>15842</v>
      </c>
      <c r="M51" s="1">
        <f t="shared" ca="1" si="13"/>
        <v>801</v>
      </c>
      <c r="N51" s="1">
        <f t="shared" si="16"/>
        <v>6</v>
      </c>
      <c r="O51" s="1" t="str">
        <f t="shared" si="17"/>
        <v>Q2</v>
      </c>
      <c r="P51" s="1" t="str">
        <f t="shared" ca="1" si="18"/>
        <v>Needs Attention</v>
      </c>
      <c r="Q51" s="1" t="str">
        <f t="shared" si="19"/>
        <v>June</v>
      </c>
      <c r="R51" s="1">
        <f t="shared" ca="1" si="20"/>
        <v>5.0561797752808987E-2</v>
      </c>
    </row>
    <row r="52" spans="1:18">
      <c r="A52" s="2">
        <f t="shared" si="14"/>
        <v>46199</v>
      </c>
      <c r="B52" s="1" t="str">
        <f>TEXT(A52,"dddd")</f>
        <v>Friday</v>
      </c>
      <c r="C52" s="1" t="str">
        <f>IF(A52&lt;&gt;"","Yes","")</f>
        <v>Yes</v>
      </c>
      <c r="D52" s="1">
        <f t="shared" ca="1" si="6"/>
        <v>109</v>
      </c>
      <c r="E52" s="1">
        <f t="shared" ca="1" si="7"/>
        <v>171</v>
      </c>
      <c r="F52" s="1">
        <f t="shared" ca="1" si="0"/>
        <v>181</v>
      </c>
      <c r="G52" s="1">
        <f t="shared" ca="1" si="8"/>
        <v>8</v>
      </c>
      <c r="H52" s="1">
        <f t="shared" ca="1" si="9"/>
        <v>18639</v>
      </c>
      <c r="I52" s="1">
        <f t="shared" ca="1" si="10"/>
        <v>109</v>
      </c>
      <c r="J52" s="1">
        <f t="shared" ca="1" si="15"/>
        <v>2</v>
      </c>
      <c r="K52" s="1">
        <f t="shared" ca="1" si="11"/>
        <v>1</v>
      </c>
      <c r="L52" s="1">
        <f t="shared" ca="1" si="12"/>
        <v>19548</v>
      </c>
      <c r="M52" s="1">
        <f t="shared" ca="1" si="13"/>
        <v>864</v>
      </c>
      <c r="N52" s="1">
        <f t="shared" si="16"/>
        <v>6</v>
      </c>
      <c r="O52" s="1" t="str">
        <f t="shared" si="17"/>
        <v>Q2</v>
      </c>
      <c r="P52" s="1" t="str">
        <f t="shared" ca="1" si="18"/>
        <v>Needs Attention</v>
      </c>
      <c r="Q52" s="1" t="str">
        <f t="shared" si="19"/>
        <v>June</v>
      </c>
      <c r="R52" s="1">
        <f t="shared" ca="1" si="20"/>
        <v>4.4198895027624308E-2</v>
      </c>
    </row>
    <row r="53" spans="1:18">
      <c r="A53" s="2">
        <f t="shared" si="14"/>
        <v>46203</v>
      </c>
      <c r="B53" s="1" t="str">
        <f>TEXT(A53,"dddd")</f>
        <v>Tuesday</v>
      </c>
      <c r="C53" s="1" t="str">
        <f>IF(A53&lt;&gt;"","Yes","")</f>
        <v>Yes</v>
      </c>
      <c r="D53" s="1">
        <f t="shared" ca="1" si="6"/>
        <v>91</v>
      </c>
      <c r="E53" s="1">
        <f t="shared" ca="1" si="7"/>
        <v>163</v>
      </c>
      <c r="F53" s="1">
        <f t="shared" ca="1" si="0"/>
        <v>173</v>
      </c>
      <c r="G53" s="1">
        <f t="shared" ca="1" si="8"/>
        <v>10</v>
      </c>
      <c r="H53" s="1">
        <f t="shared" ca="1" si="9"/>
        <v>14833</v>
      </c>
      <c r="I53" s="1">
        <f t="shared" ca="1" si="10"/>
        <v>84</v>
      </c>
      <c r="J53" s="1">
        <f t="shared" ca="1" si="15"/>
        <v>8</v>
      </c>
      <c r="K53" s="1">
        <f t="shared" ca="1" si="11"/>
        <v>3</v>
      </c>
      <c r="L53" s="1">
        <f t="shared" ca="1" si="12"/>
        <v>14013</v>
      </c>
      <c r="M53" s="1">
        <f t="shared" ca="1" si="13"/>
        <v>810</v>
      </c>
      <c r="N53" s="1">
        <f t="shared" si="16"/>
        <v>6</v>
      </c>
      <c r="O53" s="1" t="str">
        <f t="shared" si="17"/>
        <v>Q2</v>
      </c>
      <c r="P53" s="1" t="str">
        <f t="shared" ca="1" si="18"/>
        <v>Needs Attention</v>
      </c>
      <c r="Q53" s="1" t="str">
        <f t="shared" si="19"/>
        <v>June</v>
      </c>
      <c r="R53" s="1">
        <f t="shared" ca="1" si="20"/>
        <v>5.7803468208092484E-2</v>
      </c>
    </row>
    <row r="54" spans="1:18">
      <c r="A54" s="2">
        <f t="shared" si="14"/>
        <v>46206</v>
      </c>
      <c r="B54" s="1" t="str">
        <f>TEXT(A54,"dddd")</f>
        <v>Friday</v>
      </c>
      <c r="C54" s="1" t="str">
        <f>IF(A54&lt;&gt;"","Yes","")</f>
        <v>Yes</v>
      </c>
      <c r="D54" s="1">
        <f t="shared" ca="1" si="6"/>
        <v>115</v>
      </c>
      <c r="E54" s="1">
        <f t="shared" ca="1" si="7"/>
        <v>171</v>
      </c>
      <c r="F54" s="1">
        <f t="shared" ca="1" si="0"/>
        <v>181</v>
      </c>
      <c r="G54" s="1">
        <f t="shared" ca="1" si="8"/>
        <v>9</v>
      </c>
      <c r="H54" s="1">
        <f t="shared" ca="1" si="9"/>
        <v>19665</v>
      </c>
      <c r="I54" s="1">
        <f t="shared" ca="1" si="10"/>
        <v>108</v>
      </c>
      <c r="J54" s="1">
        <f t="shared" ca="1" si="15"/>
        <v>1</v>
      </c>
      <c r="K54" s="1">
        <f t="shared" ca="1" si="11"/>
        <v>0</v>
      </c>
      <c r="L54" s="1">
        <f t="shared" ca="1" si="12"/>
        <v>19548</v>
      </c>
      <c r="M54" s="1">
        <f t="shared" ca="1" si="13"/>
        <v>972</v>
      </c>
      <c r="N54" s="1">
        <f t="shared" si="16"/>
        <v>7</v>
      </c>
      <c r="O54" s="1" t="str">
        <f t="shared" si="17"/>
        <v>Q3</v>
      </c>
      <c r="P54" s="1" t="str">
        <f t="shared" ca="1" si="18"/>
        <v>Good</v>
      </c>
      <c r="Q54" s="1" t="str">
        <f t="shared" si="19"/>
        <v>July</v>
      </c>
      <c r="R54" s="1">
        <f t="shared" ca="1" si="20"/>
        <v>4.9723756906077346E-2</v>
      </c>
    </row>
    <row r="55" spans="1:18">
      <c r="A55" s="2">
        <f t="shared" si="14"/>
        <v>46210</v>
      </c>
      <c r="B55" s="1" t="str">
        <f>TEXT(A55,"dddd")</f>
        <v>Tuesday</v>
      </c>
      <c r="C55" s="1" t="str">
        <f>IF(A55&lt;&gt;"","Yes","")</f>
        <v>Yes</v>
      </c>
      <c r="D55" s="1">
        <f t="shared" ca="1" si="6"/>
        <v>103</v>
      </c>
      <c r="E55" s="1">
        <f t="shared" ca="1" si="7"/>
        <v>155</v>
      </c>
      <c r="F55" s="1">
        <f t="shared" ca="1" si="0"/>
        <v>165</v>
      </c>
      <c r="G55" s="1">
        <f t="shared" ca="1" si="8"/>
        <v>9</v>
      </c>
      <c r="H55" s="1">
        <f t="shared" ca="1" si="9"/>
        <v>15965</v>
      </c>
      <c r="I55" s="1">
        <f t="shared" ca="1" si="10"/>
        <v>102</v>
      </c>
      <c r="J55" s="1">
        <f t="shared" ca="1" si="15"/>
        <v>2</v>
      </c>
      <c r="K55" s="1">
        <f t="shared" ca="1" si="11"/>
        <v>2</v>
      </c>
      <c r="L55" s="1">
        <f t="shared" ca="1" si="12"/>
        <v>16500</v>
      </c>
      <c r="M55" s="1">
        <f t="shared" ca="1" si="13"/>
        <v>900</v>
      </c>
      <c r="N55" s="1">
        <f t="shared" si="16"/>
        <v>7</v>
      </c>
      <c r="O55" s="1" t="str">
        <f t="shared" si="17"/>
        <v>Q3</v>
      </c>
      <c r="P55" s="1" t="str">
        <f t="shared" ca="1" si="18"/>
        <v>Good</v>
      </c>
      <c r="Q55" s="1" t="str">
        <f t="shared" si="19"/>
        <v>July</v>
      </c>
      <c r="R55" s="1">
        <f t="shared" ca="1" si="20"/>
        <v>5.4545454545454543E-2</v>
      </c>
    </row>
    <row r="56" spans="1:18">
      <c r="A56" s="2">
        <f t="shared" si="14"/>
        <v>46213</v>
      </c>
      <c r="B56" s="1" t="str">
        <f>TEXT(A56,"dddd")</f>
        <v>Friday</v>
      </c>
      <c r="C56" s="1" t="str">
        <f>IF(A56&lt;&gt;"","Yes","")</f>
        <v>Yes</v>
      </c>
      <c r="D56" s="1">
        <f t="shared" ca="1" si="6"/>
        <v>113</v>
      </c>
      <c r="E56" s="1">
        <f t="shared" ca="1" si="7"/>
        <v>165</v>
      </c>
      <c r="F56" s="1">
        <f t="shared" ca="1" si="0"/>
        <v>175</v>
      </c>
      <c r="G56" s="1">
        <f t="shared" ca="1" si="8"/>
        <v>10</v>
      </c>
      <c r="H56" s="1">
        <f t="shared" ca="1" si="9"/>
        <v>18645</v>
      </c>
      <c r="I56" s="1">
        <f t="shared" ca="1" si="10"/>
        <v>110</v>
      </c>
      <c r="J56" s="1">
        <f t="shared" ca="1" si="15"/>
        <v>4</v>
      </c>
      <c r="K56" s="1">
        <f t="shared" ca="1" si="11"/>
        <v>0</v>
      </c>
      <c r="L56" s="1">
        <f t="shared" ca="1" si="12"/>
        <v>19250</v>
      </c>
      <c r="M56" s="1">
        <f t="shared" ca="1" si="13"/>
        <v>1100</v>
      </c>
      <c r="N56" s="1">
        <f t="shared" si="16"/>
        <v>7</v>
      </c>
      <c r="O56" s="1" t="str">
        <f t="shared" si="17"/>
        <v>Q3</v>
      </c>
      <c r="P56" s="1" t="str">
        <f t="shared" ca="1" si="18"/>
        <v>Good</v>
      </c>
      <c r="Q56" s="1" t="str">
        <f t="shared" si="19"/>
        <v>July</v>
      </c>
      <c r="R56" s="1">
        <f t="shared" ca="1" si="20"/>
        <v>5.7142857142857141E-2</v>
      </c>
    </row>
    <row r="57" spans="1:18">
      <c r="A57" s="2">
        <f t="shared" si="14"/>
        <v>46217</v>
      </c>
      <c r="B57" s="1" t="str">
        <f>TEXT(A57,"dddd")</f>
        <v>Tuesday</v>
      </c>
      <c r="C57" s="1" t="str">
        <f>IF(A57&lt;&gt;"","Yes","")</f>
        <v>Yes</v>
      </c>
      <c r="D57" s="1">
        <f t="shared" ca="1" si="6"/>
        <v>99</v>
      </c>
      <c r="E57" s="1">
        <f t="shared" ca="1" si="7"/>
        <v>162</v>
      </c>
      <c r="F57" s="1">
        <f t="shared" ca="1" si="0"/>
        <v>172</v>
      </c>
      <c r="G57" s="1">
        <f t="shared" ca="1" si="8"/>
        <v>8</v>
      </c>
      <c r="H57" s="1">
        <f t="shared" ca="1" si="9"/>
        <v>16038</v>
      </c>
      <c r="I57" s="1">
        <f t="shared" ca="1" si="10"/>
        <v>98</v>
      </c>
      <c r="J57" s="1">
        <f t="shared" ca="1" si="15"/>
        <v>6</v>
      </c>
      <c r="K57" s="1">
        <f t="shared" ca="1" si="11"/>
        <v>3</v>
      </c>
      <c r="L57" s="1">
        <f t="shared" ca="1" si="12"/>
        <v>16340</v>
      </c>
      <c r="M57" s="1">
        <f t="shared" ca="1" si="13"/>
        <v>760</v>
      </c>
      <c r="N57" s="1">
        <f t="shared" si="16"/>
        <v>7</v>
      </c>
      <c r="O57" s="1" t="str">
        <f t="shared" si="17"/>
        <v>Q3</v>
      </c>
      <c r="P57" s="1" t="str">
        <f t="shared" ca="1" si="18"/>
        <v>Needs Attention</v>
      </c>
      <c r="Q57" s="1" t="str">
        <f t="shared" si="19"/>
        <v>July</v>
      </c>
      <c r="R57" s="1">
        <f t="shared" ca="1" si="20"/>
        <v>4.6511627906976744E-2</v>
      </c>
    </row>
    <row r="58" spans="1:18">
      <c r="A58" s="2">
        <f t="shared" si="14"/>
        <v>46220</v>
      </c>
      <c r="B58" s="1" t="str">
        <f>TEXT(A58,"dddd")</f>
        <v>Friday</v>
      </c>
      <c r="C58" s="1" t="str">
        <f>IF(A58&lt;&gt;"","Yes","")</f>
        <v>Yes</v>
      </c>
      <c r="D58" s="1">
        <f t="shared" ca="1" si="6"/>
        <v>106</v>
      </c>
      <c r="E58" s="1">
        <f t="shared" ca="1" si="7"/>
        <v>168</v>
      </c>
      <c r="F58" s="1">
        <f t="shared" ca="1" si="0"/>
        <v>178</v>
      </c>
      <c r="G58" s="1">
        <f t="shared" ca="1" si="8"/>
        <v>9</v>
      </c>
      <c r="H58" s="1">
        <f t="shared" ca="1" si="9"/>
        <v>17808</v>
      </c>
      <c r="I58" s="1">
        <f t="shared" ca="1" si="10"/>
        <v>98</v>
      </c>
      <c r="J58" s="1">
        <f t="shared" ca="1" si="15"/>
        <v>1</v>
      </c>
      <c r="K58" s="1">
        <f t="shared" ca="1" si="11"/>
        <v>3</v>
      </c>
      <c r="L58" s="1">
        <f t="shared" ca="1" si="12"/>
        <v>16910</v>
      </c>
      <c r="M58" s="1">
        <f t="shared" ca="1" si="13"/>
        <v>855</v>
      </c>
      <c r="N58" s="1">
        <f t="shared" si="16"/>
        <v>7</v>
      </c>
      <c r="O58" s="1" t="str">
        <f t="shared" si="17"/>
        <v>Q3</v>
      </c>
      <c r="P58" s="1" t="str">
        <f t="shared" ca="1" si="18"/>
        <v>Needs Attention</v>
      </c>
      <c r="Q58" s="1" t="str">
        <f t="shared" si="19"/>
        <v>July</v>
      </c>
      <c r="R58" s="1">
        <f t="shared" ca="1" si="20"/>
        <v>5.0561797752808987E-2</v>
      </c>
    </row>
    <row r="59" spans="1:18">
      <c r="A59" s="2">
        <f t="shared" si="14"/>
        <v>46224</v>
      </c>
      <c r="B59" s="1" t="str">
        <f>TEXT(A59,"dddd")</f>
        <v>Tuesday</v>
      </c>
      <c r="C59" s="1" t="str">
        <f>IF(A59&lt;&gt;"","Yes","")</f>
        <v>Yes</v>
      </c>
      <c r="D59" s="1">
        <f t="shared" ca="1" si="6"/>
        <v>96</v>
      </c>
      <c r="E59" s="1">
        <f t="shared" ca="1" si="7"/>
        <v>166</v>
      </c>
      <c r="F59" s="1">
        <f t="shared" ca="1" si="0"/>
        <v>176</v>
      </c>
      <c r="G59" s="1">
        <f t="shared" ca="1" si="8"/>
        <v>10</v>
      </c>
      <c r="H59" s="1">
        <f t="shared" ca="1" si="9"/>
        <v>15936</v>
      </c>
      <c r="I59" s="1">
        <f t="shared" ca="1" si="10"/>
        <v>94</v>
      </c>
      <c r="J59" s="1">
        <f t="shared" ca="1" si="15"/>
        <v>6</v>
      </c>
      <c r="K59" s="1">
        <f t="shared" ca="1" si="11"/>
        <v>3</v>
      </c>
      <c r="L59" s="1">
        <f t="shared" ca="1" si="12"/>
        <v>16016</v>
      </c>
      <c r="M59" s="1">
        <f t="shared" ca="1" si="13"/>
        <v>910</v>
      </c>
      <c r="N59" s="1">
        <f t="shared" si="16"/>
        <v>7</v>
      </c>
      <c r="O59" s="1" t="str">
        <f t="shared" si="17"/>
        <v>Q3</v>
      </c>
      <c r="P59" s="1" t="str">
        <f t="shared" ca="1" si="18"/>
        <v>Good</v>
      </c>
      <c r="Q59" s="1" t="str">
        <f t="shared" si="19"/>
        <v>July</v>
      </c>
      <c r="R59" s="1">
        <f t="shared" ca="1" si="20"/>
        <v>5.6818181818181816E-2</v>
      </c>
    </row>
    <row r="60" spans="1:18">
      <c r="A60" s="2">
        <f t="shared" si="14"/>
        <v>46227</v>
      </c>
      <c r="B60" s="1" t="str">
        <f>TEXT(A60,"dddd")</f>
        <v>Friday</v>
      </c>
      <c r="C60" s="1" t="str">
        <f>IF(A60&lt;&gt;"","Yes","")</f>
        <v>Yes</v>
      </c>
      <c r="D60" s="1">
        <f t="shared" ca="1" si="6"/>
        <v>108</v>
      </c>
      <c r="E60" s="1">
        <f t="shared" ca="1" si="7"/>
        <v>174</v>
      </c>
      <c r="F60" s="1">
        <f t="shared" ca="1" si="0"/>
        <v>184</v>
      </c>
      <c r="G60" s="1">
        <f t="shared" ca="1" si="8"/>
        <v>9</v>
      </c>
      <c r="H60" s="1">
        <f t="shared" ca="1" si="9"/>
        <v>18792</v>
      </c>
      <c r="I60" s="1">
        <f t="shared" ca="1" si="10"/>
        <v>95</v>
      </c>
      <c r="J60" s="1">
        <f t="shared" ca="1" si="15"/>
        <v>2</v>
      </c>
      <c r="K60" s="1">
        <f t="shared" ca="1" si="11"/>
        <v>3</v>
      </c>
      <c r="L60" s="1">
        <f t="shared" ca="1" si="12"/>
        <v>16928</v>
      </c>
      <c r="M60" s="1">
        <f t="shared" ca="1" si="13"/>
        <v>828</v>
      </c>
      <c r="N60" s="1">
        <f t="shared" si="16"/>
        <v>7</v>
      </c>
      <c r="O60" s="1" t="str">
        <f t="shared" si="17"/>
        <v>Q3</v>
      </c>
      <c r="P60" s="1" t="str">
        <f t="shared" ca="1" si="18"/>
        <v>Needs Attention</v>
      </c>
      <c r="Q60" s="1" t="str">
        <f t="shared" si="19"/>
        <v>July</v>
      </c>
      <c r="R60" s="1">
        <f t="shared" ca="1" si="20"/>
        <v>4.8913043478260872E-2</v>
      </c>
    </row>
    <row r="61" spans="1:18">
      <c r="A61" s="2">
        <f t="shared" si="14"/>
        <v>46231</v>
      </c>
      <c r="B61" s="1" t="str">
        <f>TEXT(A61,"dddd")</f>
        <v>Tuesday</v>
      </c>
      <c r="C61" s="1" t="str">
        <f>IF(A61&lt;&gt;"","Yes","")</f>
        <v>Yes</v>
      </c>
      <c r="D61" s="1">
        <f t="shared" ca="1" si="6"/>
        <v>102</v>
      </c>
      <c r="E61" s="1">
        <f t="shared" ca="1" si="7"/>
        <v>169</v>
      </c>
      <c r="F61" s="1">
        <f t="shared" ca="1" si="0"/>
        <v>179</v>
      </c>
      <c r="G61" s="1">
        <f t="shared" ca="1" si="8"/>
        <v>8</v>
      </c>
      <c r="H61" s="1">
        <f t="shared" ca="1" si="9"/>
        <v>17238</v>
      </c>
      <c r="I61" s="1">
        <f t="shared" ca="1" si="10"/>
        <v>98</v>
      </c>
      <c r="J61" s="1">
        <f t="shared" ca="1" si="15"/>
        <v>-1</v>
      </c>
      <c r="K61" s="1">
        <f t="shared" ca="1" si="11"/>
        <v>2</v>
      </c>
      <c r="L61" s="1">
        <f t="shared" ca="1" si="12"/>
        <v>17184</v>
      </c>
      <c r="M61" s="1">
        <f t="shared" ca="1" si="13"/>
        <v>768</v>
      </c>
      <c r="N61" s="1">
        <f t="shared" si="16"/>
        <v>7</v>
      </c>
      <c r="O61" s="1" t="str">
        <f t="shared" si="17"/>
        <v>Q3</v>
      </c>
      <c r="P61" s="1" t="str">
        <f t="shared" ca="1" si="18"/>
        <v>Needs Attention</v>
      </c>
      <c r="Q61" s="1" t="str">
        <f t="shared" si="19"/>
        <v>July</v>
      </c>
      <c r="R61" s="1">
        <f t="shared" ca="1" si="20"/>
        <v>4.4692737430167599E-2</v>
      </c>
    </row>
    <row r="62" spans="1:18">
      <c r="A62" s="2">
        <f t="shared" si="14"/>
        <v>46234</v>
      </c>
      <c r="B62" s="1" t="str">
        <f>TEXT(A62,"dddd")</f>
        <v>Friday</v>
      </c>
      <c r="C62" s="1" t="str">
        <f>IF(A62&lt;&gt;"","Yes","")</f>
        <v>Yes</v>
      </c>
      <c r="D62" s="1">
        <f t="shared" ca="1" si="6"/>
        <v>112</v>
      </c>
      <c r="E62" s="1">
        <f t="shared" ca="1" si="7"/>
        <v>174</v>
      </c>
      <c r="F62" s="1">
        <f t="shared" ca="1" si="0"/>
        <v>184</v>
      </c>
      <c r="G62" s="1">
        <f t="shared" ca="1" si="8"/>
        <v>10</v>
      </c>
      <c r="H62" s="1">
        <f t="shared" ca="1" si="9"/>
        <v>19488</v>
      </c>
      <c r="I62" s="1">
        <f t="shared" ca="1" si="10"/>
        <v>109</v>
      </c>
      <c r="J62" s="1">
        <f t="shared" ca="1" si="15"/>
        <v>7</v>
      </c>
      <c r="K62" s="1">
        <f t="shared" ca="1" si="11"/>
        <v>2</v>
      </c>
      <c r="L62" s="1">
        <f t="shared" ca="1" si="12"/>
        <v>19688</v>
      </c>
      <c r="M62" s="1">
        <f t="shared" ca="1" si="13"/>
        <v>1070</v>
      </c>
      <c r="N62" s="1">
        <f t="shared" si="16"/>
        <v>7</v>
      </c>
      <c r="O62" s="1" t="str">
        <f t="shared" si="17"/>
        <v>Q3</v>
      </c>
      <c r="P62" s="1" t="str">
        <f t="shared" ca="1" si="18"/>
        <v>Good</v>
      </c>
      <c r="Q62" s="1" t="str">
        <f t="shared" si="19"/>
        <v>July</v>
      </c>
      <c r="R62" s="1">
        <f t="shared" ca="1" si="20"/>
        <v>5.434782608695652E-2</v>
      </c>
    </row>
    <row r="63" spans="1:18">
      <c r="A63" s="2">
        <f t="shared" si="14"/>
        <v>46238</v>
      </c>
      <c r="B63" s="1" t="str">
        <f>TEXT(A63,"dddd")</f>
        <v>Tuesday</v>
      </c>
      <c r="C63" s="1" t="str">
        <f>IF(A63&lt;&gt;"","Yes","")</f>
        <v>Yes</v>
      </c>
      <c r="D63" s="1">
        <f t="shared" ca="1" si="6"/>
        <v>105</v>
      </c>
      <c r="E63" s="1">
        <f t="shared" ca="1" si="7"/>
        <v>167</v>
      </c>
      <c r="F63" s="1">
        <f t="shared" ca="1" si="0"/>
        <v>177</v>
      </c>
      <c r="G63" s="1">
        <f t="shared" ca="1" si="8"/>
        <v>9</v>
      </c>
      <c r="H63" s="1">
        <f t="shared" ca="1" si="9"/>
        <v>17535</v>
      </c>
      <c r="I63" s="1">
        <f t="shared" ca="1" si="10"/>
        <v>97</v>
      </c>
      <c r="J63" s="1">
        <f t="shared" ca="1" si="15"/>
        <v>8</v>
      </c>
      <c r="K63" s="1">
        <f t="shared" ca="1" si="11"/>
        <v>1</v>
      </c>
      <c r="L63" s="1">
        <f t="shared" ca="1" si="12"/>
        <v>16992</v>
      </c>
      <c r="M63" s="1">
        <f t="shared" ca="1" si="13"/>
        <v>864</v>
      </c>
      <c r="N63" s="1">
        <f t="shared" si="16"/>
        <v>8</v>
      </c>
      <c r="O63" s="1" t="str">
        <f t="shared" si="17"/>
        <v>Q3</v>
      </c>
      <c r="P63" s="1" t="str">
        <f t="shared" ca="1" si="18"/>
        <v>Needs Attention</v>
      </c>
      <c r="Q63" s="1" t="str">
        <f t="shared" si="19"/>
        <v>August</v>
      </c>
      <c r="R63" s="1">
        <f t="shared" ca="1" si="20"/>
        <v>5.0847457627118647E-2</v>
      </c>
    </row>
    <row r="64" spans="1:18">
      <c r="A64" s="2">
        <f t="shared" si="14"/>
        <v>46241</v>
      </c>
      <c r="B64" s="1" t="str">
        <f>TEXT(A64,"dddd")</f>
        <v>Friday</v>
      </c>
      <c r="C64" s="1" t="str">
        <f>IF(A64&lt;&gt;"","Yes","")</f>
        <v>Yes</v>
      </c>
      <c r="D64" s="1">
        <f t="shared" ca="1" si="6"/>
        <v>110</v>
      </c>
      <c r="E64" s="1">
        <f t="shared" ca="1" si="7"/>
        <v>167</v>
      </c>
      <c r="F64" s="1">
        <f t="shared" ca="1" si="0"/>
        <v>177</v>
      </c>
      <c r="G64" s="1">
        <f t="shared" ca="1" si="8"/>
        <v>8</v>
      </c>
      <c r="H64" s="1">
        <f t="shared" ca="1" si="9"/>
        <v>18370</v>
      </c>
      <c r="I64" s="1">
        <f t="shared" ca="1" si="10"/>
        <v>100</v>
      </c>
      <c r="J64" s="1">
        <f t="shared" ca="1" si="15"/>
        <v>-1</v>
      </c>
      <c r="K64" s="1">
        <f t="shared" ca="1" si="11"/>
        <v>0</v>
      </c>
      <c r="L64" s="1">
        <f t="shared" ca="1" si="12"/>
        <v>17700</v>
      </c>
      <c r="M64" s="1">
        <f t="shared" ca="1" si="13"/>
        <v>800</v>
      </c>
      <c r="N64" s="1">
        <f t="shared" si="16"/>
        <v>8</v>
      </c>
      <c r="O64" s="1" t="str">
        <f t="shared" si="17"/>
        <v>Q3</v>
      </c>
      <c r="P64" s="1" t="str">
        <f t="shared" ca="1" si="18"/>
        <v>Needs Attention</v>
      </c>
      <c r="Q64" s="1" t="str">
        <f t="shared" si="19"/>
        <v>August</v>
      </c>
      <c r="R64" s="1">
        <f t="shared" ca="1" si="20"/>
        <v>4.519774011299435E-2</v>
      </c>
    </row>
    <row r="65" spans="1:18">
      <c r="A65" s="2">
        <f t="shared" si="14"/>
        <v>46245</v>
      </c>
      <c r="B65" s="1" t="str">
        <f>TEXT(A65,"dddd")</f>
        <v>Tuesday</v>
      </c>
      <c r="C65" s="1" t="str">
        <f>IF(A65&lt;&gt;"","Yes","")</f>
        <v>Yes</v>
      </c>
      <c r="D65" s="1">
        <f t="shared" ca="1" si="6"/>
        <v>93</v>
      </c>
      <c r="E65" s="1">
        <f t="shared" ca="1" si="7"/>
        <v>158</v>
      </c>
      <c r="F65" s="1">
        <f t="shared" ca="1" si="0"/>
        <v>168</v>
      </c>
      <c r="G65" s="1">
        <f t="shared" ca="1" si="8"/>
        <v>8</v>
      </c>
      <c r="H65" s="1">
        <f t="shared" ca="1" si="9"/>
        <v>14694</v>
      </c>
      <c r="I65" s="1">
        <f t="shared" ca="1" si="10"/>
        <v>89</v>
      </c>
      <c r="J65" s="1">
        <f t="shared" ca="1" si="15"/>
        <v>4</v>
      </c>
      <c r="K65" s="1">
        <f t="shared" ca="1" si="11"/>
        <v>1</v>
      </c>
      <c r="L65" s="1">
        <f t="shared" ca="1" si="12"/>
        <v>14784</v>
      </c>
      <c r="M65" s="1">
        <f t="shared" ca="1" si="13"/>
        <v>704</v>
      </c>
      <c r="N65" s="1">
        <f t="shared" si="16"/>
        <v>8</v>
      </c>
      <c r="O65" s="1" t="str">
        <f t="shared" si="17"/>
        <v>Q3</v>
      </c>
      <c r="P65" s="1" t="str">
        <f t="shared" ca="1" si="18"/>
        <v>Needs Attention</v>
      </c>
      <c r="Q65" s="1" t="str">
        <f t="shared" si="19"/>
        <v>August</v>
      </c>
      <c r="R65" s="1">
        <f t="shared" ca="1" si="20"/>
        <v>4.7619047619047616E-2</v>
      </c>
    </row>
    <row r="66" spans="1:18">
      <c r="A66" s="2">
        <f t="shared" si="14"/>
        <v>46248</v>
      </c>
      <c r="B66" s="1" t="str">
        <f>TEXT(A66,"dddd")</f>
        <v>Friday</v>
      </c>
      <c r="C66" s="1" t="str">
        <f>IF(A66&lt;&gt;"","Yes","")</f>
        <v>Yes</v>
      </c>
      <c r="D66" s="1">
        <f t="shared" ca="1" si="6"/>
        <v>103</v>
      </c>
      <c r="E66" s="1">
        <f t="shared" ca="1" si="7"/>
        <v>174</v>
      </c>
      <c r="F66" s="1">
        <f t="shared" ref="F66:F105" ca="1" si="21">E66+10</f>
        <v>184</v>
      </c>
      <c r="G66" s="1">
        <f t="shared" ca="1" si="8"/>
        <v>9</v>
      </c>
      <c r="H66" s="1">
        <f t="shared" ca="1" si="9"/>
        <v>17922</v>
      </c>
      <c r="I66" s="1">
        <f t="shared" ca="1" si="10"/>
        <v>101</v>
      </c>
      <c r="J66" s="1">
        <f t="shared" ca="1" si="15"/>
        <v>7</v>
      </c>
      <c r="K66" s="1">
        <f t="shared" ca="1" si="11"/>
        <v>2</v>
      </c>
      <c r="L66" s="1">
        <f t="shared" ca="1" si="12"/>
        <v>18216</v>
      </c>
      <c r="M66" s="1">
        <f t="shared" ca="1" si="13"/>
        <v>891</v>
      </c>
      <c r="N66" s="1">
        <f t="shared" ref="N66:N97" si="22">MONTH(A66)</f>
        <v>8</v>
      </c>
      <c r="O66" s="1" t="str">
        <f t="shared" ref="O66:O97" si="23">"Q"&amp;ROUNDUP(MONTH(A66)/3,0)</f>
        <v>Q3</v>
      </c>
      <c r="P66" s="1" t="str">
        <f t="shared" ref="P66:P97" ca="1" si="24">IF(M66&gt;=900,"Good","Needs Attention")</f>
        <v>Needs Attention</v>
      </c>
      <c r="Q66" s="1" t="str">
        <f t="shared" ref="Q66:Q97" si="25">TEXT(A66,"mmmm")</f>
        <v>August</v>
      </c>
      <c r="R66" s="1">
        <f t="shared" ref="R66:R97" ca="1" si="26">M66/L66</f>
        <v>4.8913043478260872E-2</v>
      </c>
    </row>
    <row r="67" spans="1:18">
      <c r="A67" s="2">
        <f t="shared" si="14"/>
        <v>46252</v>
      </c>
      <c r="B67" s="1" t="str">
        <f>TEXT(A67,"dddd")</f>
        <v>Tuesday</v>
      </c>
      <c r="C67" s="1" t="str">
        <f>IF(A67&lt;&gt;"","Yes","")</f>
        <v>Yes</v>
      </c>
      <c r="D67" s="1">
        <f t="shared" ref="D67:D105" ca="1" si="27">IF(B67="Friday",RANDBETWEEN(100,115),RANDBETWEEN(90,105))</f>
        <v>93</v>
      </c>
      <c r="E67" s="1">
        <f t="shared" ref="E67:E105" ca="1" si="28">IF(B67="Friday",RANDBETWEEN(165,180),RANDBETWEEN(155,170))</f>
        <v>159</v>
      </c>
      <c r="F67" s="1">
        <f t="shared" ca="1" si="21"/>
        <v>169</v>
      </c>
      <c r="G67" s="1">
        <f t="shared" ref="G67:G105" ca="1" si="29">RANDBETWEEN(8,10)</f>
        <v>10</v>
      </c>
      <c r="H67" s="1">
        <f t="shared" ref="H67:H105" ca="1" si="30">D67*E67</f>
        <v>14787</v>
      </c>
      <c r="I67" s="1">
        <f t="shared" ref="I67:I105" ca="1" si="31">RANDBETWEEN(D67-15,D67)</f>
        <v>90</v>
      </c>
      <c r="J67" s="1">
        <f t="shared" ca="1" si="15"/>
        <v>-1</v>
      </c>
      <c r="K67" s="1">
        <f t="shared" ref="K67:K105" ca="1" si="32">RANDBETWEEN(0,3)</f>
        <v>2</v>
      </c>
      <c r="L67" s="1">
        <f t="shared" ref="L67:L105" ca="1" si="33">(I67-K67)*F67</f>
        <v>14872</v>
      </c>
      <c r="M67" s="1">
        <f t="shared" ref="M67:M105" ca="1" si="34">(I67-K67)*G67</f>
        <v>880</v>
      </c>
      <c r="N67" s="1">
        <f t="shared" si="22"/>
        <v>8</v>
      </c>
      <c r="O67" s="1" t="str">
        <f t="shared" si="23"/>
        <v>Q3</v>
      </c>
      <c r="P67" s="1" t="str">
        <f t="shared" ca="1" si="24"/>
        <v>Needs Attention</v>
      </c>
      <c r="Q67" s="1" t="str">
        <f t="shared" si="25"/>
        <v>August</v>
      </c>
      <c r="R67" s="1">
        <f t="shared" ca="1" si="26"/>
        <v>5.9171597633136092E-2</v>
      </c>
    </row>
    <row r="68" spans="1:18">
      <c r="A68" s="2">
        <f t="shared" ref="A68:A105" si="35">IF(WEEKDAY(A67)=6,A67+4,A67+3)</f>
        <v>46255</v>
      </c>
      <c r="B68" s="1" t="str">
        <f>TEXT(A68,"dddd")</f>
        <v>Friday</v>
      </c>
      <c r="C68" s="1" t="str">
        <f>IF(A68&lt;&gt;"","Yes","")</f>
        <v>Yes</v>
      </c>
      <c r="D68" s="1">
        <f t="shared" ca="1" si="27"/>
        <v>103</v>
      </c>
      <c r="E68" s="1">
        <f t="shared" ca="1" si="28"/>
        <v>171</v>
      </c>
      <c r="F68" s="1">
        <f t="shared" ca="1" si="21"/>
        <v>181</v>
      </c>
      <c r="G68" s="1">
        <f t="shared" ca="1" si="29"/>
        <v>9</v>
      </c>
      <c r="H68" s="1">
        <f t="shared" ca="1" si="30"/>
        <v>17613</v>
      </c>
      <c r="I68" s="1">
        <f t="shared" ca="1" si="31"/>
        <v>96</v>
      </c>
      <c r="J68" s="1">
        <f t="shared" ca="1" si="15"/>
        <v>3</v>
      </c>
      <c r="K68" s="1">
        <f t="shared" ca="1" si="32"/>
        <v>3</v>
      </c>
      <c r="L68" s="1">
        <f t="shared" ca="1" si="33"/>
        <v>16833</v>
      </c>
      <c r="M68" s="1">
        <f t="shared" ca="1" si="34"/>
        <v>837</v>
      </c>
      <c r="N68" s="1">
        <f t="shared" si="22"/>
        <v>8</v>
      </c>
      <c r="O68" s="1" t="str">
        <f t="shared" si="23"/>
        <v>Q3</v>
      </c>
      <c r="P68" s="1" t="str">
        <f t="shared" ca="1" si="24"/>
        <v>Needs Attention</v>
      </c>
      <c r="Q68" s="1" t="str">
        <f t="shared" si="25"/>
        <v>August</v>
      </c>
      <c r="R68" s="1">
        <f t="shared" ca="1" si="26"/>
        <v>4.9723756906077346E-2</v>
      </c>
    </row>
    <row r="69" spans="1:18">
      <c r="A69" s="2">
        <f t="shared" si="35"/>
        <v>46259</v>
      </c>
      <c r="B69" s="1" t="str">
        <f>TEXT(A69,"dddd")</f>
        <v>Tuesday</v>
      </c>
      <c r="C69" s="1" t="str">
        <f>IF(A69&lt;&gt;"","Yes","")</f>
        <v>Yes</v>
      </c>
      <c r="D69" s="1">
        <f t="shared" ca="1" si="27"/>
        <v>103</v>
      </c>
      <c r="E69" s="1">
        <f t="shared" ca="1" si="28"/>
        <v>160</v>
      </c>
      <c r="F69" s="1">
        <f t="shared" ca="1" si="21"/>
        <v>170</v>
      </c>
      <c r="G69" s="1">
        <f t="shared" ca="1" si="29"/>
        <v>9</v>
      </c>
      <c r="H69" s="1">
        <f t="shared" ca="1" si="30"/>
        <v>16480</v>
      </c>
      <c r="I69" s="1">
        <f t="shared" ca="1" si="31"/>
        <v>103</v>
      </c>
      <c r="J69" s="1">
        <f t="shared" ca="1" si="15"/>
        <v>-2</v>
      </c>
      <c r="K69" s="1">
        <f t="shared" ca="1" si="32"/>
        <v>0</v>
      </c>
      <c r="L69" s="1">
        <f t="shared" ca="1" si="33"/>
        <v>17510</v>
      </c>
      <c r="M69" s="1">
        <f t="shared" ca="1" si="34"/>
        <v>927</v>
      </c>
      <c r="N69" s="1">
        <f t="shared" si="22"/>
        <v>8</v>
      </c>
      <c r="O69" s="1" t="str">
        <f t="shared" si="23"/>
        <v>Q3</v>
      </c>
      <c r="P69" s="1" t="str">
        <f t="shared" ca="1" si="24"/>
        <v>Good</v>
      </c>
      <c r="Q69" s="1" t="str">
        <f t="shared" si="25"/>
        <v>August</v>
      </c>
      <c r="R69" s="1">
        <f t="shared" ca="1" si="26"/>
        <v>5.2941176470588235E-2</v>
      </c>
    </row>
    <row r="70" spans="1:18">
      <c r="A70" s="2">
        <f t="shared" si="35"/>
        <v>46262</v>
      </c>
      <c r="B70" s="1" t="str">
        <f>TEXT(A70,"dddd")</f>
        <v>Friday</v>
      </c>
      <c r="C70" s="1" t="str">
        <f>IF(A70&lt;&gt;"","Yes","")</f>
        <v>Yes</v>
      </c>
      <c r="D70" s="1">
        <f t="shared" ca="1" si="27"/>
        <v>101</v>
      </c>
      <c r="E70" s="1">
        <f t="shared" ca="1" si="28"/>
        <v>180</v>
      </c>
      <c r="F70" s="1">
        <f t="shared" ca="1" si="21"/>
        <v>190</v>
      </c>
      <c r="G70" s="1">
        <f t="shared" ca="1" si="29"/>
        <v>10</v>
      </c>
      <c r="H70" s="1">
        <f t="shared" ca="1" si="30"/>
        <v>18180</v>
      </c>
      <c r="I70" s="1">
        <f t="shared" ca="1" si="31"/>
        <v>98</v>
      </c>
      <c r="J70" s="1">
        <f t="shared" ca="1" si="15"/>
        <v>5</v>
      </c>
      <c r="K70" s="1">
        <f t="shared" ca="1" si="32"/>
        <v>1</v>
      </c>
      <c r="L70" s="1">
        <f t="shared" ca="1" si="33"/>
        <v>18430</v>
      </c>
      <c r="M70" s="1">
        <f t="shared" ca="1" si="34"/>
        <v>970</v>
      </c>
      <c r="N70" s="1">
        <f t="shared" si="22"/>
        <v>8</v>
      </c>
      <c r="O70" s="1" t="str">
        <f t="shared" si="23"/>
        <v>Q3</v>
      </c>
      <c r="P70" s="1" t="str">
        <f t="shared" ca="1" si="24"/>
        <v>Good</v>
      </c>
      <c r="Q70" s="1" t="str">
        <f t="shared" si="25"/>
        <v>August</v>
      </c>
      <c r="R70" s="1">
        <f t="shared" ca="1" si="26"/>
        <v>5.2631578947368418E-2</v>
      </c>
    </row>
    <row r="71" spans="1:18">
      <c r="A71" s="2">
        <f t="shared" si="35"/>
        <v>46266</v>
      </c>
      <c r="B71" s="1" t="str">
        <f>TEXT(A71,"dddd")</f>
        <v>Tuesday</v>
      </c>
      <c r="C71" s="1" t="str">
        <f>IF(A71&lt;&gt;"","Yes","")</f>
        <v>Yes</v>
      </c>
      <c r="D71" s="1">
        <f t="shared" ca="1" si="27"/>
        <v>105</v>
      </c>
      <c r="E71" s="1">
        <f t="shared" ca="1" si="28"/>
        <v>167</v>
      </c>
      <c r="F71" s="1">
        <f t="shared" ca="1" si="21"/>
        <v>177</v>
      </c>
      <c r="G71" s="1">
        <f t="shared" ca="1" si="29"/>
        <v>9</v>
      </c>
      <c r="H71" s="1">
        <f t="shared" ca="1" si="30"/>
        <v>17535</v>
      </c>
      <c r="I71" s="1">
        <f t="shared" ca="1" si="31"/>
        <v>102</v>
      </c>
      <c r="J71" s="1">
        <f t="shared" ca="1" si="15"/>
        <v>-1</v>
      </c>
      <c r="K71" s="1">
        <f t="shared" ca="1" si="32"/>
        <v>0</v>
      </c>
      <c r="L71" s="1">
        <f t="shared" ca="1" si="33"/>
        <v>18054</v>
      </c>
      <c r="M71" s="1">
        <f t="shared" ca="1" si="34"/>
        <v>918</v>
      </c>
      <c r="N71" s="1">
        <f t="shared" si="22"/>
        <v>9</v>
      </c>
      <c r="O71" s="1" t="str">
        <f t="shared" si="23"/>
        <v>Q3</v>
      </c>
      <c r="P71" s="1" t="str">
        <f t="shared" ca="1" si="24"/>
        <v>Good</v>
      </c>
      <c r="Q71" s="1" t="str">
        <f t="shared" si="25"/>
        <v>September</v>
      </c>
      <c r="R71" s="1">
        <f t="shared" ca="1" si="26"/>
        <v>5.0847457627118647E-2</v>
      </c>
    </row>
    <row r="72" spans="1:18">
      <c r="A72" s="2">
        <f t="shared" si="35"/>
        <v>46269</v>
      </c>
      <c r="B72" s="1" t="str">
        <f>TEXT(A72,"dddd")</f>
        <v>Friday</v>
      </c>
      <c r="C72" s="1" t="str">
        <f>IF(A72&lt;&gt;"","Yes","")</f>
        <v>Yes</v>
      </c>
      <c r="D72" s="1">
        <f t="shared" ca="1" si="27"/>
        <v>101</v>
      </c>
      <c r="E72" s="1">
        <f t="shared" ca="1" si="28"/>
        <v>167</v>
      </c>
      <c r="F72" s="1">
        <f t="shared" ca="1" si="21"/>
        <v>177</v>
      </c>
      <c r="G72" s="1">
        <f t="shared" ca="1" si="29"/>
        <v>9</v>
      </c>
      <c r="H72" s="1">
        <f t="shared" ca="1" si="30"/>
        <v>16867</v>
      </c>
      <c r="I72" s="1">
        <f t="shared" ca="1" si="31"/>
        <v>96</v>
      </c>
      <c r="J72" s="1">
        <f t="shared" ca="1" si="15"/>
        <v>10</v>
      </c>
      <c r="K72" s="1">
        <f t="shared" ca="1" si="32"/>
        <v>1</v>
      </c>
      <c r="L72" s="1">
        <f t="shared" ca="1" si="33"/>
        <v>16815</v>
      </c>
      <c r="M72" s="1">
        <f t="shared" ca="1" si="34"/>
        <v>855</v>
      </c>
      <c r="N72" s="1">
        <f t="shared" si="22"/>
        <v>9</v>
      </c>
      <c r="O72" s="1" t="str">
        <f t="shared" si="23"/>
        <v>Q3</v>
      </c>
      <c r="P72" s="1" t="str">
        <f t="shared" ca="1" si="24"/>
        <v>Needs Attention</v>
      </c>
      <c r="Q72" s="1" t="str">
        <f t="shared" si="25"/>
        <v>September</v>
      </c>
      <c r="R72" s="1">
        <f t="shared" ca="1" si="26"/>
        <v>5.0847457627118647E-2</v>
      </c>
    </row>
    <row r="73" spans="1:18">
      <c r="A73" s="2">
        <f t="shared" si="35"/>
        <v>46273</v>
      </c>
      <c r="B73" s="1" t="str">
        <f>TEXT(A73,"dddd")</f>
        <v>Tuesday</v>
      </c>
      <c r="C73" s="1" t="str">
        <f>IF(A73&lt;&gt;"","Yes","")</f>
        <v>Yes</v>
      </c>
      <c r="D73" s="1">
        <f t="shared" ca="1" si="27"/>
        <v>103</v>
      </c>
      <c r="E73" s="1">
        <f t="shared" ca="1" si="28"/>
        <v>164</v>
      </c>
      <c r="F73" s="1">
        <f t="shared" ca="1" si="21"/>
        <v>174</v>
      </c>
      <c r="G73" s="1">
        <f t="shared" ca="1" si="29"/>
        <v>10</v>
      </c>
      <c r="H73" s="1">
        <f t="shared" ca="1" si="30"/>
        <v>16892</v>
      </c>
      <c r="I73" s="1">
        <f t="shared" ca="1" si="31"/>
        <v>93</v>
      </c>
      <c r="J73" s="1">
        <f t="shared" ca="1" si="15"/>
        <v>2</v>
      </c>
      <c r="K73" s="1">
        <f t="shared" ca="1" si="32"/>
        <v>1</v>
      </c>
      <c r="L73" s="1">
        <f t="shared" ca="1" si="33"/>
        <v>16008</v>
      </c>
      <c r="M73" s="1">
        <f t="shared" ca="1" si="34"/>
        <v>920</v>
      </c>
      <c r="N73" s="1">
        <f t="shared" si="22"/>
        <v>9</v>
      </c>
      <c r="O73" s="1" t="str">
        <f t="shared" si="23"/>
        <v>Q3</v>
      </c>
      <c r="P73" s="1" t="str">
        <f t="shared" ca="1" si="24"/>
        <v>Good</v>
      </c>
      <c r="Q73" s="1" t="str">
        <f t="shared" si="25"/>
        <v>September</v>
      </c>
      <c r="R73" s="1">
        <f t="shared" ca="1" si="26"/>
        <v>5.7471264367816091E-2</v>
      </c>
    </row>
    <row r="74" spans="1:18">
      <c r="A74" s="2">
        <f t="shared" si="35"/>
        <v>46276</v>
      </c>
      <c r="B74" s="1" t="str">
        <f>TEXT(A74,"dddd")</f>
        <v>Friday</v>
      </c>
      <c r="C74" s="1" t="str">
        <f>IF(A74&lt;&gt;"","Yes","")</f>
        <v>Yes</v>
      </c>
      <c r="D74" s="1">
        <f t="shared" ca="1" si="27"/>
        <v>105</v>
      </c>
      <c r="E74" s="1">
        <f t="shared" ca="1" si="28"/>
        <v>167</v>
      </c>
      <c r="F74" s="1">
        <f t="shared" ca="1" si="21"/>
        <v>177</v>
      </c>
      <c r="G74" s="1">
        <f t="shared" ca="1" si="29"/>
        <v>8</v>
      </c>
      <c r="H74" s="1">
        <f t="shared" ca="1" si="30"/>
        <v>17535</v>
      </c>
      <c r="I74" s="1">
        <f t="shared" ca="1" si="31"/>
        <v>96</v>
      </c>
      <c r="J74" s="1">
        <f t="shared" ca="1" si="15"/>
        <v>1</v>
      </c>
      <c r="K74" s="1">
        <f t="shared" ca="1" si="32"/>
        <v>2</v>
      </c>
      <c r="L74" s="1">
        <f t="shared" ca="1" si="33"/>
        <v>16638</v>
      </c>
      <c r="M74" s="1">
        <f t="shared" ca="1" si="34"/>
        <v>752</v>
      </c>
      <c r="N74" s="1">
        <f t="shared" si="22"/>
        <v>9</v>
      </c>
      <c r="O74" s="1" t="str">
        <f t="shared" si="23"/>
        <v>Q3</v>
      </c>
      <c r="P74" s="1" t="str">
        <f t="shared" ca="1" si="24"/>
        <v>Needs Attention</v>
      </c>
      <c r="Q74" s="1" t="str">
        <f t="shared" si="25"/>
        <v>September</v>
      </c>
      <c r="R74" s="1">
        <f t="shared" ca="1" si="26"/>
        <v>4.519774011299435E-2</v>
      </c>
    </row>
    <row r="75" spans="1:18">
      <c r="A75" s="2">
        <f t="shared" si="35"/>
        <v>46280</v>
      </c>
      <c r="B75" s="1" t="str">
        <f>TEXT(A75,"dddd")</f>
        <v>Tuesday</v>
      </c>
      <c r="C75" s="1" t="str">
        <f>IF(A75&lt;&gt;"","Yes","")</f>
        <v>Yes</v>
      </c>
      <c r="D75" s="1">
        <f t="shared" ca="1" si="27"/>
        <v>105</v>
      </c>
      <c r="E75" s="1">
        <f t="shared" ca="1" si="28"/>
        <v>162</v>
      </c>
      <c r="F75" s="1">
        <f t="shared" ca="1" si="21"/>
        <v>172</v>
      </c>
      <c r="G75" s="1">
        <f t="shared" ca="1" si="29"/>
        <v>9</v>
      </c>
      <c r="H75" s="1">
        <f t="shared" ca="1" si="30"/>
        <v>17010</v>
      </c>
      <c r="I75" s="1">
        <f t="shared" ca="1" si="31"/>
        <v>98</v>
      </c>
      <c r="J75" s="1">
        <f t="shared" ca="1" si="15"/>
        <v>7</v>
      </c>
      <c r="K75" s="1">
        <f t="shared" ca="1" si="32"/>
        <v>0</v>
      </c>
      <c r="L75" s="1">
        <f t="shared" ca="1" si="33"/>
        <v>16856</v>
      </c>
      <c r="M75" s="1">
        <f t="shared" ca="1" si="34"/>
        <v>882</v>
      </c>
      <c r="N75" s="1">
        <f t="shared" si="22"/>
        <v>9</v>
      </c>
      <c r="O75" s="1" t="str">
        <f t="shared" si="23"/>
        <v>Q3</v>
      </c>
      <c r="P75" s="1" t="str">
        <f t="shared" ca="1" si="24"/>
        <v>Needs Attention</v>
      </c>
      <c r="Q75" s="1" t="str">
        <f t="shared" si="25"/>
        <v>September</v>
      </c>
      <c r="R75" s="1">
        <f t="shared" ca="1" si="26"/>
        <v>5.232558139534884E-2</v>
      </c>
    </row>
    <row r="76" spans="1:18">
      <c r="A76" s="2">
        <f t="shared" si="35"/>
        <v>46283</v>
      </c>
      <c r="B76" s="1" t="str">
        <f>TEXT(A76,"dddd")</f>
        <v>Friday</v>
      </c>
      <c r="C76" s="1" t="str">
        <f>IF(A76&lt;&gt;"","Yes","")</f>
        <v>Yes</v>
      </c>
      <c r="D76" s="1">
        <f t="shared" ca="1" si="27"/>
        <v>115</v>
      </c>
      <c r="E76" s="1">
        <f t="shared" ca="1" si="28"/>
        <v>166</v>
      </c>
      <c r="F76" s="1">
        <f t="shared" ca="1" si="21"/>
        <v>176</v>
      </c>
      <c r="G76" s="1">
        <f t="shared" ca="1" si="29"/>
        <v>9</v>
      </c>
      <c r="H76" s="1">
        <f t="shared" ca="1" si="30"/>
        <v>19090</v>
      </c>
      <c r="I76" s="1">
        <f t="shared" ca="1" si="31"/>
        <v>108</v>
      </c>
      <c r="J76" s="1">
        <f t="shared" ca="1" si="15"/>
        <v>10</v>
      </c>
      <c r="K76" s="1">
        <f t="shared" ca="1" si="32"/>
        <v>2</v>
      </c>
      <c r="L76" s="1">
        <f t="shared" ca="1" si="33"/>
        <v>18656</v>
      </c>
      <c r="M76" s="1">
        <f t="shared" ca="1" si="34"/>
        <v>954</v>
      </c>
      <c r="N76" s="1">
        <f t="shared" si="22"/>
        <v>9</v>
      </c>
      <c r="O76" s="1" t="str">
        <f t="shared" si="23"/>
        <v>Q3</v>
      </c>
      <c r="P76" s="1" t="str">
        <f t="shared" ca="1" si="24"/>
        <v>Good</v>
      </c>
      <c r="Q76" s="1" t="str">
        <f t="shared" si="25"/>
        <v>September</v>
      </c>
      <c r="R76" s="1">
        <f t="shared" ca="1" si="26"/>
        <v>5.113636363636364E-2</v>
      </c>
    </row>
    <row r="77" spans="1:18">
      <c r="A77" s="2">
        <f t="shared" si="35"/>
        <v>46287</v>
      </c>
      <c r="B77" s="1" t="str">
        <f>TEXT(A77,"dddd")</f>
        <v>Tuesday</v>
      </c>
      <c r="C77" s="1" t="str">
        <f>IF(A77&lt;&gt;"","Yes","")</f>
        <v>Yes</v>
      </c>
      <c r="D77" s="1">
        <f t="shared" ca="1" si="27"/>
        <v>96</v>
      </c>
      <c r="E77" s="1">
        <f t="shared" ca="1" si="28"/>
        <v>159</v>
      </c>
      <c r="F77" s="1">
        <f t="shared" ca="1" si="21"/>
        <v>169</v>
      </c>
      <c r="G77" s="1">
        <f t="shared" ca="1" si="29"/>
        <v>10</v>
      </c>
      <c r="H77" s="1">
        <f t="shared" ca="1" si="30"/>
        <v>15264</v>
      </c>
      <c r="I77" s="1">
        <f t="shared" ca="1" si="31"/>
        <v>81</v>
      </c>
      <c r="J77" s="1">
        <f t="shared" ca="1" si="15"/>
        <v>3</v>
      </c>
      <c r="K77" s="1">
        <f t="shared" ca="1" si="32"/>
        <v>1</v>
      </c>
      <c r="L77" s="1">
        <f t="shared" ca="1" si="33"/>
        <v>13520</v>
      </c>
      <c r="M77" s="1">
        <f t="shared" ca="1" si="34"/>
        <v>800</v>
      </c>
      <c r="N77" s="1">
        <f t="shared" si="22"/>
        <v>9</v>
      </c>
      <c r="O77" s="1" t="str">
        <f t="shared" si="23"/>
        <v>Q3</v>
      </c>
      <c r="P77" s="1" t="str">
        <f t="shared" ca="1" si="24"/>
        <v>Needs Attention</v>
      </c>
      <c r="Q77" s="1" t="str">
        <f t="shared" si="25"/>
        <v>September</v>
      </c>
      <c r="R77" s="1">
        <f t="shared" ca="1" si="26"/>
        <v>5.9171597633136092E-2</v>
      </c>
    </row>
    <row r="78" spans="1:18">
      <c r="A78" s="2">
        <f t="shared" si="35"/>
        <v>46290</v>
      </c>
      <c r="B78" s="1" t="str">
        <f>TEXT(A78,"dddd")</f>
        <v>Friday</v>
      </c>
      <c r="C78" s="1" t="str">
        <f>IF(A78&lt;&gt;"","Yes","")</f>
        <v>Yes</v>
      </c>
      <c r="D78" s="1">
        <f t="shared" ca="1" si="27"/>
        <v>103</v>
      </c>
      <c r="E78" s="1">
        <f t="shared" ca="1" si="28"/>
        <v>174</v>
      </c>
      <c r="F78" s="1">
        <f t="shared" ca="1" si="21"/>
        <v>184</v>
      </c>
      <c r="G78" s="1">
        <f t="shared" ca="1" si="29"/>
        <v>10</v>
      </c>
      <c r="H78" s="1">
        <f t="shared" ca="1" si="30"/>
        <v>17922</v>
      </c>
      <c r="I78" s="1">
        <f t="shared" ca="1" si="31"/>
        <v>93</v>
      </c>
      <c r="J78" s="1">
        <f t="shared" ca="1" si="15"/>
        <v>0</v>
      </c>
      <c r="K78" s="1">
        <f t="shared" ca="1" si="32"/>
        <v>0</v>
      </c>
      <c r="L78" s="1">
        <f t="shared" ca="1" si="33"/>
        <v>17112</v>
      </c>
      <c r="M78" s="1">
        <f t="shared" ca="1" si="34"/>
        <v>930</v>
      </c>
      <c r="N78" s="1">
        <f t="shared" si="22"/>
        <v>9</v>
      </c>
      <c r="O78" s="1" t="str">
        <f t="shared" si="23"/>
        <v>Q3</v>
      </c>
      <c r="P78" s="1" t="str">
        <f t="shared" ca="1" si="24"/>
        <v>Good</v>
      </c>
      <c r="Q78" s="1" t="str">
        <f t="shared" si="25"/>
        <v>September</v>
      </c>
      <c r="R78" s="1">
        <f t="shared" ca="1" si="26"/>
        <v>5.434782608695652E-2</v>
      </c>
    </row>
    <row r="79" spans="1:18">
      <c r="A79" s="2">
        <f t="shared" si="35"/>
        <v>46294</v>
      </c>
      <c r="B79" s="1" t="str">
        <f>TEXT(A79,"dddd")</f>
        <v>Tuesday</v>
      </c>
      <c r="C79" s="1" t="str">
        <f>IF(A79&lt;&gt;"","Yes","")</f>
        <v>Yes</v>
      </c>
      <c r="D79" s="1">
        <f t="shared" ca="1" si="27"/>
        <v>104</v>
      </c>
      <c r="E79" s="1">
        <f t="shared" ca="1" si="28"/>
        <v>165</v>
      </c>
      <c r="F79" s="1">
        <f t="shared" ca="1" si="21"/>
        <v>175</v>
      </c>
      <c r="G79" s="1">
        <f t="shared" ca="1" si="29"/>
        <v>9</v>
      </c>
      <c r="H79" s="1">
        <f t="shared" ca="1" si="30"/>
        <v>17160</v>
      </c>
      <c r="I79" s="1">
        <f t="shared" ca="1" si="31"/>
        <v>98</v>
      </c>
      <c r="J79" s="1">
        <f t="shared" ref="J79:J105" ca="1" si="36">D67-I67-K67</f>
        <v>1</v>
      </c>
      <c r="K79" s="1">
        <f t="shared" ca="1" si="32"/>
        <v>3</v>
      </c>
      <c r="L79" s="1">
        <f t="shared" ca="1" si="33"/>
        <v>16625</v>
      </c>
      <c r="M79" s="1">
        <f t="shared" ca="1" si="34"/>
        <v>855</v>
      </c>
      <c r="N79" s="1">
        <f t="shared" si="22"/>
        <v>9</v>
      </c>
      <c r="O79" s="1" t="str">
        <f t="shared" si="23"/>
        <v>Q3</v>
      </c>
      <c r="P79" s="1" t="str">
        <f t="shared" ca="1" si="24"/>
        <v>Needs Attention</v>
      </c>
      <c r="Q79" s="1" t="str">
        <f t="shared" si="25"/>
        <v>September</v>
      </c>
      <c r="R79" s="1">
        <f t="shared" ca="1" si="26"/>
        <v>5.1428571428571428E-2</v>
      </c>
    </row>
    <row r="80" spans="1:18">
      <c r="A80" s="2">
        <f t="shared" si="35"/>
        <v>46297</v>
      </c>
      <c r="B80" s="1" t="str">
        <f>TEXT(A80,"dddd")</f>
        <v>Friday</v>
      </c>
      <c r="C80" s="1" t="str">
        <f>IF(A80&lt;&gt;"","Yes","")</f>
        <v>Yes</v>
      </c>
      <c r="D80" s="1">
        <f t="shared" ca="1" si="27"/>
        <v>102</v>
      </c>
      <c r="E80" s="1">
        <f t="shared" ca="1" si="28"/>
        <v>172</v>
      </c>
      <c r="F80" s="1">
        <f t="shared" ca="1" si="21"/>
        <v>182</v>
      </c>
      <c r="G80" s="1">
        <f t="shared" ca="1" si="29"/>
        <v>9</v>
      </c>
      <c r="H80" s="1">
        <f t="shared" ca="1" si="30"/>
        <v>17544</v>
      </c>
      <c r="I80" s="1">
        <f t="shared" ca="1" si="31"/>
        <v>101</v>
      </c>
      <c r="J80" s="1">
        <f t="shared" ca="1" si="36"/>
        <v>4</v>
      </c>
      <c r="K80" s="1">
        <f t="shared" ca="1" si="32"/>
        <v>1</v>
      </c>
      <c r="L80" s="1">
        <f t="shared" ca="1" si="33"/>
        <v>18200</v>
      </c>
      <c r="M80" s="1">
        <f t="shared" ca="1" si="34"/>
        <v>900</v>
      </c>
      <c r="N80" s="1">
        <f t="shared" si="22"/>
        <v>10</v>
      </c>
      <c r="O80" s="1" t="str">
        <f t="shared" si="23"/>
        <v>Q4</v>
      </c>
      <c r="P80" s="1" t="str">
        <f t="shared" ca="1" si="24"/>
        <v>Good</v>
      </c>
      <c r="Q80" s="1" t="str">
        <f t="shared" si="25"/>
        <v>October</v>
      </c>
      <c r="R80" s="1">
        <f t="shared" ca="1" si="26"/>
        <v>4.9450549450549448E-2</v>
      </c>
    </row>
    <row r="81" spans="1:18">
      <c r="A81" s="2">
        <f t="shared" si="35"/>
        <v>46301</v>
      </c>
      <c r="B81" s="1" t="str">
        <f>TEXT(A81,"dddd")</f>
        <v>Tuesday</v>
      </c>
      <c r="C81" s="1" t="str">
        <f>IF(A81&lt;&gt;"","Yes","")</f>
        <v>Yes</v>
      </c>
      <c r="D81" s="1">
        <f t="shared" ca="1" si="27"/>
        <v>97</v>
      </c>
      <c r="E81" s="1">
        <f t="shared" ca="1" si="28"/>
        <v>159</v>
      </c>
      <c r="F81" s="1">
        <f t="shared" ca="1" si="21"/>
        <v>169</v>
      </c>
      <c r="G81" s="1">
        <f t="shared" ca="1" si="29"/>
        <v>10</v>
      </c>
      <c r="H81" s="1">
        <f t="shared" ca="1" si="30"/>
        <v>15423</v>
      </c>
      <c r="I81" s="1">
        <f t="shared" ca="1" si="31"/>
        <v>82</v>
      </c>
      <c r="J81" s="1">
        <f t="shared" ca="1" si="36"/>
        <v>0</v>
      </c>
      <c r="K81" s="1">
        <f t="shared" ca="1" si="32"/>
        <v>1</v>
      </c>
      <c r="L81" s="1">
        <f t="shared" ca="1" si="33"/>
        <v>13689</v>
      </c>
      <c r="M81" s="1">
        <f t="shared" ca="1" si="34"/>
        <v>810</v>
      </c>
      <c r="N81" s="1">
        <f t="shared" si="22"/>
        <v>10</v>
      </c>
      <c r="O81" s="1" t="str">
        <f t="shared" si="23"/>
        <v>Q4</v>
      </c>
      <c r="P81" s="1" t="str">
        <f t="shared" ca="1" si="24"/>
        <v>Needs Attention</v>
      </c>
      <c r="Q81" s="1" t="str">
        <f t="shared" si="25"/>
        <v>October</v>
      </c>
      <c r="R81" s="1">
        <f t="shared" ca="1" si="26"/>
        <v>5.9171597633136092E-2</v>
      </c>
    </row>
    <row r="82" spans="1:18">
      <c r="A82" s="2">
        <f t="shared" si="35"/>
        <v>46304</v>
      </c>
      <c r="B82" s="1" t="str">
        <f>TEXT(A82,"dddd")</f>
        <v>Friday</v>
      </c>
      <c r="C82" s="1" t="str">
        <f>IF(A82&lt;&gt;"","Yes","")</f>
        <v>Yes</v>
      </c>
      <c r="D82" s="1">
        <f t="shared" ca="1" si="27"/>
        <v>106</v>
      </c>
      <c r="E82" s="1">
        <f t="shared" ca="1" si="28"/>
        <v>176</v>
      </c>
      <c r="F82" s="1">
        <f t="shared" ca="1" si="21"/>
        <v>186</v>
      </c>
      <c r="G82" s="1">
        <f t="shared" ca="1" si="29"/>
        <v>9</v>
      </c>
      <c r="H82" s="1">
        <f t="shared" ca="1" si="30"/>
        <v>18656</v>
      </c>
      <c r="I82" s="1">
        <f t="shared" ca="1" si="31"/>
        <v>93</v>
      </c>
      <c r="J82" s="1">
        <f t="shared" ca="1" si="36"/>
        <v>2</v>
      </c>
      <c r="K82" s="1">
        <f t="shared" ca="1" si="32"/>
        <v>1</v>
      </c>
      <c r="L82" s="1">
        <f t="shared" ca="1" si="33"/>
        <v>17112</v>
      </c>
      <c r="M82" s="1">
        <f t="shared" ca="1" si="34"/>
        <v>828</v>
      </c>
      <c r="N82" s="1">
        <f t="shared" si="22"/>
        <v>10</v>
      </c>
      <c r="O82" s="1" t="str">
        <f t="shared" si="23"/>
        <v>Q4</v>
      </c>
      <c r="P82" s="1" t="str">
        <f t="shared" ca="1" si="24"/>
        <v>Needs Attention</v>
      </c>
      <c r="Q82" s="1" t="str">
        <f t="shared" si="25"/>
        <v>October</v>
      </c>
      <c r="R82" s="1">
        <f t="shared" ca="1" si="26"/>
        <v>4.8387096774193547E-2</v>
      </c>
    </row>
    <row r="83" spans="1:18">
      <c r="A83" s="2">
        <f t="shared" si="35"/>
        <v>46308</v>
      </c>
      <c r="B83" s="1" t="str">
        <f>TEXT(A83,"dddd")</f>
        <v>Tuesday</v>
      </c>
      <c r="C83" s="1" t="str">
        <f>IF(A83&lt;&gt;"","Yes","")</f>
        <v>Yes</v>
      </c>
      <c r="D83" s="1">
        <f t="shared" ca="1" si="27"/>
        <v>104</v>
      </c>
      <c r="E83" s="1">
        <f t="shared" ca="1" si="28"/>
        <v>162</v>
      </c>
      <c r="F83" s="1">
        <f t="shared" ca="1" si="21"/>
        <v>172</v>
      </c>
      <c r="G83" s="1">
        <f t="shared" ca="1" si="29"/>
        <v>9</v>
      </c>
      <c r="H83" s="1">
        <f t="shared" ca="1" si="30"/>
        <v>16848</v>
      </c>
      <c r="I83" s="1">
        <f t="shared" ca="1" si="31"/>
        <v>99</v>
      </c>
      <c r="J83" s="1">
        <f t="shared" ca="1" si="36"/>
        <v>3</v>
      </c>
      <c r="K83" s="1">
        <f t="shared" ca="1" si="32"/>
        <v>1</v>
      </c>
      <c r="L83" s="1">
        <f t="shared" ca="1" si="33"/>
        <v>16856</v>
      </c>
      <c r="M83" s="1">
        <f t="shared" ca="1" si="34"/>
        <v>882</v>
      </c>
      <c r="N83" s="1">
        <f t="shared" si="22"/>
        <v>10</v>
      </c>
      <c r="O83" s="1" t="str">
        <f t="shared" si="23"/>
        <v>Q4</v>
      </c>
      <c r="P83" s="1" t="str">
        <f t="shared" ca="1" si="24"/>
        <v>Needs Attention</v>
      </c>
      <c r="Q83" s="1" t="str">
        <f t="shared" si="25"/>
        <v>October</v>
      </c>
      <c r="R83" s="1">
        <f t="shared" ca="1" si="26"/>
        <v>5.232558139534884E-2</v>
      </c>
    </row>
    <row r="84" spans="1:18">
      <c r="A84" s="2">
        <f t="shared" si="35"/>
        <v>46311</v>
      </c>
      <c r="B84" s="1" t="str">
        <f>TEXT(A84,"dddd")</f>
        <v>Friday</v>
      </c>
      <c r="C84" s="1" t="str">
        <f>IF(A84&lt;&gt;"","Yes","")</f>
        <v>Yes</v>
      </c>
      <c r="D84" s="1">
        <f t="shared" ca="1" si="27"/>
        <v>111</v>
      </c>
      <c r="E84" s="1">
        <f t="shared" ca="1" si="28"/>
        <v>169</v>
      </c>
      <c r="F84" s="1">
        <f t="shared" ca="1" si="21"/>
        <v>179</v>
      </c>
      <c r="G84" s="1">
        <f t="shared" ca="1" si="29"/>
        <v>10</v>
      </c>
      <c r="H84" s="1">
        <f t="shared" ca="1" si="30"/>
        <v>18759</v>
      </c>
      <c r="I84" s="1">
        <f t="shared" ca="1" si="31"/>
        <v>106</v>
      </c>
      <c r="J84" s="1">
        <f t="shared" ca="1" si="36"/>
        <v>4</v>
      </c>
      <c r="K84" s="1">
        <f t="shared" ca="1" si="32"/>
        <v>1</v>
      </c>
      <c r="L84" s="1">
        <f t="shared" ca="1" si="33"/>
        <v>18795</v>
      </c>
      <c r="M84" s="1">
        <f t="shared" ca="1" si="34"/>
        <v>1050</v>
      </c>
      <c r="N84" s="1">
        <f t="shared" si="22"/>
        <v>10</v>
      </c>
      <c r="O84" s="1" t="str">
        <f t="shared" si="23"/>
        <v>Q4</v>
      </c>
      <c r="P84" s="1" t="str">
        <f t="shared" ca="1" si="24"/>
        <v>Good</v>
      </c>
      <c r="Q84" s="1" t="str">
        <f t="shared" si="25"/>
        <v>October</v>
      </c>
      <c r="R84" s="1">
        <f t="shared" ca="1" si="26"/>
        <v>5.5865921787709494E-2</v>
      </c>
    </row>
    <row r="85" spans="1:18">
      <c r="A85" s="2">
        <f t="shared" si="35"/>
        <v>46315</v>
      </c>
      <c r="B85" s="1" t="str">
        <f>TEXT(A85,"dddd")</f>
        <v>Tuesday</v>
      </c>
      <c r="C85" s="1" t="str">
        <f>IF(A85&lt;&gt;"","Yes","")</f>
        <v>Yes</v>
      </c>
      <c r="D85" s="1">
        <f t="shared" ca="1" si="27"/>
        <v>92</v>
      </c>
      <c r="E85" s="1">
        <f t="shared" ca="1" si="28"/>
        <v>168</v>
      </c>
      <c r="F85" s="1">
        <f t="shared" ca="1" si="21"/>
        <v>178</v>
      </c>
      <c r="G85" s="1">
        <f t="shared" ca="1" si="29"/>
        <v>8</v>
      </c>
      <c r="H85" s="1">
        <f t="shared" ca="1" si="30"/>
        <v>15456</v>
      </c>
      <c r="I85" s="1">
        <f t="shared" ca="1" si="31"/>
        <v>82</v>
      </c>
      <c r="J85" s="1">
        <f t="shared" ca="1" si="36"/>
        <v>9</v>
      </c>
      <c r="K85" s="1">
        <f t="shared" ca="1" si="32"/>
        <v>0</v>
      </c>
      <c r="L85" s="1">
        <f t="shared" ca="1" si="33"/>
        <v>14596</v>
      </c>
      <c r="M85" s="1">
        <f t="shared" ca="1" si="34"/>
        <v>656</v>
      </c>
      <c r="N85" s="1">
        <f t="shared" si="22"/>
        <v>10</v>
      </c>
      <c r="O85" s="1" t="str">
        <f t="shared" si="23"/>
        <v>Q4</v>
      </c>
      <c r="P85" s="1" t="str">
        <f t="shared" ca="1" si="24"/>
        <v>Needs Attention</v>
      </c>
      <c r="Q85" s="1" t="str">
        <f t="shared" si="25"/>
        <v>October</v>
      </c>
      <c r="R85" s="1">
        <f t="shared" ca="1" si="26"/>
        <v>4.49438202247191E-2</v>
      </c>
    </row>
    <row r="86" spans="1:18">
      <c r="A86" s="2">
        <f t="shared" si="35"/>
        <v>46318</v>
      </c>
      <c r="B86" s="1" t="str">
        <f>TEXT(A86,"dddd")</f>
        <v>Friday</v>
      </c>
      <c r="C86" s="1" t="str">
        <f>IF(A86&lt;&gt;"","Yes","")</f>
        <v>Yes</v>
      </c>
      <c r="D86" s="1">
        <f t="shared" ca="1" si="27"/>
        <v>111</v>
      </c>
      <c r="E86" s="1">
        <f t="shared" ca="1" si="28"/>
        <v>177</v>
      </c>
      <c r="F86" s="1">
        <f t="shared" ca="1" si="21"/>
        <v>187</v>
      </c>
      <c r="G86" s="1">
        <f t="shared" ca="1" si="29"/>
        <v>10</v>
      </c>
      <c r="H86" s="1">
        <f t="shared" ca="1" si="30"/>
        <v>19647</v>
      </c>
      <c r="I86" s="1">
        <f t="shared" ca="1" si="31"/>
        <v>109</v>
      </c>
      <c r="J86" s="1">
        <f t="shared" ca="1" si="36"/>
        <v>7</v>
      </c>
      <c r="K86" s="1">
        <f t="shared" ca="1" si="32"/>
        <v>1</v>
      </c>
      <c r="L86" s="1">
        <f t="shared" ca="1" si="33"/>
        <v>20196</v>
      </c>
      <c r="M86" s="1">
        <f t="shared" ca="1" si="34"/>
        <v>1080</v>
      </c>
      <c r="N86" s="1">
        <f t="shared" si="22"/>
        <v>10</v>
      </c>
      <c r="O86" s="1" t="str">
        <f t="shared" si="23"/>
        <v>Q4</v>
      </c>
      <c r="P86" s="1" t="str">
        <f t="shared" ca="1" si="24"/>
        <v>Good</v>
      </c>
      <c r="Q86" s="1" t="str">
        <f t="shared" si="25"/>
        <v>October</v>
      </c>
      <c r="R86" s="1">
        <f t="shared" ca="1" si="26"/>
        <v>5.3475935828877004E-2</v>
      </c>
    </row>
    <row r="87" spans="1:18">
      <c r="A87" s="2">
        <f t="shared" si="35"/>
        <v>46322</v>
      </c>
      <c r="B87" s="1" t="str">
        <f>TEXT(A87,"dddd")</f>
        <v>Tuesday</v>
      </c>
      <c r="C87" s="1" t="str">
        <f>IF(A87&lt;&gt;"","Yes","")</f>
        <v>Yes</v>
      </c>
      <c r="D87" s="1">
        <f t="shared" ca="1" si="27"/>
        <v>105</v>
      </c>
      <c r="E87" s="1">
        <f t="shared" ca="1" si="28"/>
        <v>155</v>
      </c>
      <c r="F87" s="1">
        <f t="shared" ca="1" si="21"/>
        <v>165</v>
      </c>
      <c r="G87" s="1">
        <f t="shared" ca="1" si="29"/>
        <v>9</v>
      </c>
      <c r="H87" s="1">
        <f t="shared" ca="1" si="30"/>
        <v>16275</v>
      </c>
      <c r="I87" s="1">
        <f t="shared" ca="1" si="31"/>
        <v>98</v>
      </c>
      <c r="J87" s="1">
        <f t="shared" ca="1" si="36"/>
        <v>7</v>
      </c>
      <c r="K87" s="1">
        <f t="shared" ca="1" si="32"/>
        <v>1</v>
      </c>
      <c r="L87" s="1">
        <f t="shared" ca="1" si="33"/>
        <v>16005</v>
      </c>
      <c r="M87" s="1">
        <f t="shared" ca="1" si="34"/>
        <v>873</v>
      </c>
      <c r="N87" s="1">
        <f t="shared" si="22"/>
        <v>10</v>
      </c>
      <c r="O87" s="1" t="str">
        <f t="shared" si="23"/>
        <v>Q4</v>
      </c>
      <c r="P87" s="1" t="str">
        <f t="shared" ca="1" si="24"/>
        <v>Needs Attention</v>
      </c>
      <c r="Q87" s="1" t="str">
        <f t="shared" si="25"/>
        <v>October</v>
      </c>
      <c r="R87" s="1">
        <f t="shared" ca="1" si="26"/>
        <v>5.4545454545454543E-2</v>
      </c>
    </row>
    <row r="88" spans="1:18">
      <c r="A88" s="2">
        <f t="shared" si="35"/>
        <v>46325</v>
      </c>
      <c r="B88" s="1" t="str">
        <f>TEXT(A88,"dddd")</f>
        <v>Friday</v>
      </c>
      <c r="C88" s="1" t="str">
        <f>IF(A88&lt;&gt;"","Yes","")</f>
        <v>Yes</v>
      </c>
      <c r="D88" s="1">
        <f t="shared" ca="1" si="27"/>
        <v>102</v>
      </c>
      <c r="E88" s="1">
        <f t="shared" ca="1" si="28"/>
        <v>172</v>
      </c>
      <c r="F88" s="1">
        <f t="shared" ca="1" si="21"/>
        <v>182</v>
      </c>
      <c r="G88" s="1">
        <f t="shared" ca="1" si="29"/>
        <v>10</v>
      </c>
      <c r="H88" s="1">
        <f t="shared" ca="1" si="30"/>
        <v>17544</v>
      </c>
      <c r="I88" s="1">
        <f t="shared" ca="1" si="31"/>
        <v>98</v>
      </c>
      <c r="J88" s="1">
        <f t="shared" ca="1" si="36"/>
        <v>5</v>
      </c>
      <c r="K88" s="1">
        <f t="shared" ca="1" si="32"/>
        <v>3</v>
      </c>
      <c r="L88" s="1">
        <f t="shared" ca="1" si="33"/>
        <v>17290</v>
      </c>
      <c r="M88" s="1">
        <f t="shared" ca="1" si="34"/>
        <v>950</v>
      </c>
      <c r="N88" s="1">
        <f t="shared" si="22"/>
        <v>10</v>
      </c>
      <c r="O88" s="1" t="str">
        <f t="shared" si="23"/>
        <v>Q4</v>
      </c>
      <c r="P88" s="1" t="str">
        <f t="shared" ca="1" si="24"/>
        <v>Good</v>
      </c>
      <c r="Q88" s="1" t="str">
        <f t="shared" si="25"/>
        <v>October</v>
      </c>
      <c r="R88" s="1">
        <f t="shared" ca="1" si="26"/>
        <v>5.4945054945054944E-2</v>
      </c>
    </row>
    <row r="89" spans="1:18">
      <c r="A89" s="2">
        <f t="shared" si="35"/>
        <v>46329</v>
      </c>
      <c r="B89" s="1" t="str">
        <f>TEXT(A89,"dddd")</f>
        <v>Tuesday</v>
      </c>
      <c r="C89" s="1" t="str">
        <f>IF(A89&lt;&gt;"","Yes","")</f>
        <v>Yes</v>
      </c>
      <c r="D89" s="1">
        <f t="shared" ca="1" si="27"/>
        <v>95</v>
      </c>
      <c r="E89" s="1">
        <f t="shared" ca="1" si="28"/>
        <v>162</v>
      </c>
      <c r="F89" s="1">
        <f t="shared" ca="1" si="21"/>
        <v>172</v>
      </c>
      <c r="G89" s="1">
        <f t="shared" ca="1" si="29"/>
        <v>8</v>
      </c>
      <c r="H89" s="1">
        <f t="shared" ca="1" si="30"/>
        <v>15390</v>
      </c>
      <c r="I89" s="1">
        <f t="shared" ca="1" si="31"/>
        <v>91</v>
      </c>
      <c r="J89" s="1">
        <f t="shared" ca="1" si="36"/>
        <v>14</v>
      </c>
      <c r="K89" s="1">
        <f t="shared" ca="1" si="32"/>
        <v>1</v>
      </c>
      <c r="L89" s="1">
        <f t="shared" ca="1" si="33"/>
        <v>15480</v>
      </c>
      <c r="M89" s="1">
        <f t="shared" ca="1" si="34"/>
        <v>720</v>
      </c>
      <c r="N89" s="1">
        <f t="shared" si="22"/>
        <v>11</v>
      </c>
      <c r="O89" s="1" t="str">
        <f t="shared" si="23"/>
        <v>Q4</v>
      </c>
      <c r="P89" s="1" t="str">
        <f t="shared" ca="1" si="24"/>
        <v>Needs Attention</v>
      </c>
      <c r="Q89" s="1" t="str">
        <f t="shared" si="25"/>
        <v>November</v>
      </c>
      <c r="R89" s="1">
        <f t="shared" ca="1" si="26"/>
        <v>4.6511627906976744E-2</v>
      </c>
    </row>
    <row r="90" spans="1:18">
      <c r="A90" s="2">
        <f t="shared" si="35"/>
        <v>46332</v>
      </c>
      <c r="B90" s="1" t="str">
        <f>TEXT(A90,"dddd")</f>
        <v>Friday</v>
      </c>
      <c r="C90" s="1" t="str">
        <f>IF(A90&lt;&gt;"","Yes","")</f>
        <v>Yes</v>
      </c>
      <c r="D90" s="1">
        <f t="shared" ca="1" si="27"/>
        <v>107</v>
      </c>
      <c r="E90" s="1">
        <f t="shared" ca="1" si="28"/>
        <v>178</v>
      </c>
      <c r="F90" s="1">
        <f t="shared" ca="1" si="21"/>
        <v>188</v>
      </c>
      <c r="G90" s="1">
        <f t="shared" ca="1" si="29"/>
        <v>8</v>
      </c>
      <c r="H90" s="1">
        <f t="shared" ca="1" si="30"/>
        <v>19046</v>
      </c>
      <c r="I90" s="1">
        <f t="shared" ca="1" si="31"/>
        <v>107</v>
      </c>
      <c r="J90" s="1">
        <f t="shared" ca="1" si="36"/>
        <v>10</v>
      </c>
      <c r="K90" s="1">
        <f t="shared" ca="1" si="32"/>
        <v>1</v>
      </c>
      <c r="L90" s="1">
        <f t="shared" ca="1" si="33"/>
        <v>19928</v>
      </c>
      <c r="M90" s="1">
        <f t="shared" ca="1" si="34"/>
        <v>848</v>
      </c>
      <c r="N90" s="1">
        <f t="shared" si="22"/>
        <v>11</v>
      </c>
      <c r="O90" s="1" t="str">
        <f t="shared" si="23"/>
        <v>Q4</v>
      </c>
      <c r="P90" s="1" t="str">
        <f t="shared" ca="1" si="24"/>
        <v>Needs Attention</v>
      </c>
      <c r="Q90" s="1" t="str">
        <f t="shared" si="25"/>
        <v>November</v>
      </c>
      <c r="R90" s="1">
        <f t="shared" ca="1" si="26"/>
        <v>4.2553191489361701E-2</v>
      </c>
    </row>
    <row r="91" spans="1:18">
      <c r="A91" s="2">
        <f t="shared" si="35"/>
        <v>46336</v>
      </c>
      <c r="B91" s="1" t="str">
        <f>TEXT(A91,"dddd")</f>
        <v>Tuesday</v>
      </c>
      <c r="C91" s="1" t="str">
        <f>IF(A91&lt;&gt;"","Yes","")</f>
        <v>Yes</v>
      </c>
      <c r="D91" s="1">
        <f t="shared" ca="1" si="27"/>
        <v>95</v>
      </c>
      <c r="E91" s="1">
        <f t="shared" ca="1" si="28"/>
        <v>158</v>
      </c>
      <c r="F91" s="1">
        <f t="shared" ca="1" si="21"/>
        <v>168</v>
      </c>
      <c r="G91" s="1">
        <f t="shared" ca="1" si="29"/>
        <v>9</v>
      </c>
      <c r="H91" s="1">
        <f t="shared" ca="1" si="30"/>
        <v>15010</v>
      </c>
      <c r="I91" s="1">
        <f t="shared" ca="1" si="31"/>
        <v>92</v>
      </c>
      <c r="J91" s="1">
        <f t="shared" ca="1" si="36"/>
        <v>3</v>
      </c>
      <c r="K91" s="1">
        <f t="shared" ca="1" si="32"/>
        <v>1</v>
      </c>
      <c r="L91" s="1">
        <f t="shared" ca="1" si="33"/>
        <v>15288</v>
      </c>
      <c r="M91" s="1">
        <f t="shared" ca="1" si="34"/>
        <v>819</v>
      </c>
      <c r="N91" s="1">
        <f t="shared" si="22"/>
        <v>11</v>
      </c>
      <c r="O91" s="1" t="str">
        <f t="shared" si="23"/>
        <v>Q4</v>
      </c>
      <c r="P91" s="1" t="str">
        <f t="shared" ca="1" si="24"/>
        <v>Needs Attention</v>
      </c>
      <c r="Q91" s="1" t="str">
        <f t="shared" si="25"/>
        <v>November</v>
      </c>
      <c r="R91" s="1">
        <f t="shared" ca="1" si="26"/>
        <v>5.3571428571428568E-2</v>
      </c>
    </row>
    <row r="92" spans="1:18">
      <c r="A92" s="2">
        <f t="shared" si="35"/>
        <v>46339</v>
      </c>
      <c r="B92" s="1" t="str">
        <f>TEXT(A92,"dddd")</f>
        <v>Friday</v>
      </c>
      <c r="C92" s="1" t="str">
        <f>IF(A92&lt;&gt;"","Yes","")</f>
        <v>Yes</v>
      </c>
      <c r="D92" s="1">
        <f t="shared" ca="1" si="27"/>
        <v>110</v>
      </c>
      <c r="E92" s="1">
        <f t="shared" ca="1" si="28"/>
        <v>170</v>
      </c>
      <c r="F92" s="1">
        <f t="shared" ca="1" si="21"/>
        <v>180</v>
      </c>
      <c r="G92" s="1">
        <f t="shared" ca="1" si="29"/>
        <v>8</v>
      </c>
      <c r="H92" s="1">
        <f t="shared" ca="1" si="30"/>
        <v>18700</v>
      </c>
      <c r="I92" s="1">
        <f t="shared" ca="1" si="31"/>
        <v>110</v>
      </c>
      <c r="J92" s="1">
        <f t="shared" ca="1" si="36"/>
        <v>0</v>
      </c>
      <c r="K92" s="1">
        <f t="shared" ca="1" si="32"/>
        <v>3</v>
      </c>
      <c r="L92" s="1">
        <f t="shared" ca="1" si="33"/>
        <v>19260</v>
      </c>
      <c r="M92" s="1">
        <f t="shared" ca="1" si="34"/>
        <v>856</v>
      </c>
      <c r="N92" s="1">
        <f t="shared" si="22"/>
        <v>11</v>
      </c>
      <c r="O92" s="1" t="str">
        <f t="shared" si="23"/>
        <v>Q4</v>
      </c>
      <c r="P92" s="1" t="str">
        <f t="shared" ca="1" si="24"/>
        <v>Needs Attention</v>
      </c>
      <c r="Q92" s="1" t="str">
        <f t="shared" si="25"/>
        <v>November</v>
      </c>
      <c r="R92" s="1">
        <f t="shared" ca="1" si="26"/>
        <v>4.4444444444444446E-2</v>
      </c>
    </row>
    <row r="93" spans="1:18">
      <c r="A93" s="2">
        <f t="shared" si="35"/>
        <v>46343</v>
      </c>
      <c r="B93" s="1" t="str">
        <f>TEXT(A93,"dddd")</f>
        <v>Tuesday</v>
      </c>
      <c r="C93" s="1" t="str">
        <f>IF(A93&lt;&gt;"","Yes","")</f>
        <v>Yes</v>
      </c>
      <c r="D93" s="1">
        <f t="shared" ca="1" si="27"/>
        <v>98</v>
      </c>
      <c r="E93" s="1">
        <f t="shared" ca="1" si="28"/>
        <v>170</v>
      </c>
      <c r="F93" s="1">
        <f t="shared" ca="1" si="21"/>
        <v>180</v>
      </c>
      <c r="G93" s="1">
        <f t="shared" ca="1" si="29"/>
        <v>9</v>
      </c>
      <c r="H93" s="1">
        <f t="shared" ca="1" si="30"/>
        <v>16660</v>
      </c>
      <c r="I93" s="1">
        <f t="shared" ca="1" si="31"/>
        <v>89</v>
      </c>
      <c r="J93" s="1">
        <f t="shared" ca="1" si="36"/>
        <v>14</v>
      </c>
      <c r="K93" s="1">
        <f t="shared" ca="1" si="32"/>
        <v>0</v>
      </c>
      <c r="L93" s="1">
        <f t="shared" ca="1" si="33"/>
        <v>16020</v>
      </c>
      <c r="M93" s="1">
        <f t="shared" ca="1" si="34"/>
        <v>801</v>
      </c>
      <c r="N93" s="1">
        <f t="shared" si="22"/>
        <v>11</v>
      </c>
      <c r="O93" s="1" t="str">
        <f t="shared" si="23"/>
        <v>Q4</v>
      </c>
      <c r="P93" s="1" t="str">
        <f t="shared" ca="1" si="24"/>
        <v>Needs Attention</v>
      </c>
      <c r="Q93" s="1" t="str">
        <f t="shared" si="25"/>
        <v>November</v>
      </c>
      <c r="R93" s="1">
        <f t="shared" ca="1" si="26"/>
        <v>0.05</v>
      </c>
    </row>
    <row r="94" spans="1:18">
      <c r="A94" s="2">
        <f t="shared" si="35"/>
        <v>46346</v>
      </c>
      <c r="B94" s="1" t="str">
        <f>TEXT(A94,"dddd")</f>
        <v>Friday</v>
      </c>
      <c r="C94" s="1" t="str">
        <f>IF(A94&lt;&gt;"","Yes","")</f>
        <v>Yes</v>
      </c>
      <c r="D94" s="1">
        <f t="shared" ca="1" si="27"/>
        <v>104</v>
      </c>
      <c r="E94" s="1">
        <f t="shared" ca="1" si="28"/>
        <v>170</v>
      </c>
      <c r="F94" s="1">
        <f t="shared" ca="1" si="21"/>
        <v>180</v>
      </c>
      <c r="G94" s="1">
        <f t="shared" ca="1" si="29"/>
        <v>9</v>
      </c>
      <c r="H94" s="1">
        <f t="shared" ca="1" si="30"/>
        <v>17680</v>
      </c>
      <c r="I94" s="1">
        <f t="shared" ca="1" si="31"/>
        <v>101</v>
      </c>
      <c r="J94" s="1">
        <f t="shared" ca="1" si="36"/>
        <v>12</v>
      </c>
      <c r="K94" s="1">
        <f t="shared" ca="1" si="32"/>
        <v>2</v>
      </c>
      <c r="L94" s="1">
        <f t="shared" ca="1" si="33"/>
        <v>17820</v>
      </c>
      <c r="M94" s="1">
        <f t="shared" ca="1" si="34"/>
        <v>891</v>
      </c>
      <c r="N94" s="1">
        <f t="shared" si="22"/>
        <v>11</v>
      </c>
      <c r="O94" s="1" t="str">
        <f t="shared" si="23"/>
        <v>Q4</v>
      </c>
      <c r="P94" s="1" t="str">
        <f t="shared" ca="1" si="24"/>
        <v>Needs Attention</v>
      </c>
      <c r="Q94" s="1" t="str">
        <f t="shared" si="25"/>
        <v>November</v>
      </c>
      <c r="R94" s="1">
        <f t="shared" ca="1" si="26"/>
        <v>0.05</v>
      </c>
    </row>
    <row r="95" spans="1:18">
      <c r="A95" s="2">
        <f t="shared" si="35"/>
        <v>46350</v>
      </c>
      <c r="B95" s="1" t="str">
        <f>TEXT(A95,"dddd")</f>
        <v>Tuesday</v>
      </c>
      <c r="C95" s="1" t="str">
        <f>IF(A95&lt;&gt;"","Yes","")</f>
        <v>Yes</v>
      </c>
      <c r="D95" s="1">
        <f t="shared" ca="1" si="27"/>
        <v>103</v>
      </c>
      <c r="E95" s="1">
        <f t="shared" ca="1" si="28"/>
        <v>158</v>
      </c>
      <c r="F95" s="1">
        <f t="shared" ca="1" si="21"/>
        <v>168</v>
      </c>
      <c r="G95" s="1">
        <f t="shared" ca="1" si="29"/>
        <v>10</v>
      </c>
      <c r="H95" s="1">
        <f t="shared" ca="1" si="30"/>
        <v>16274</v>
      </c>
      <c r="I95" s="1">
        <f t="shared" ca="1" si="31"/>
        <v>102</v>
      </c>
      <c r="J95" s="1">
        <f t="shared" ca="1" si="36"/>
        <v>4</v>
      </c>
      <c r="K95" s="1">
        <f t="shared" ca="1" si="32"/>
        <v>0</v>
      </c>
      <c r="L95" s="1">
        <f t="shared" ca="1" si="33"/>
        <v>17136</v>
      </c>
      <c r="M95" s="1">
        <f t="shared" ca="1" si="34"/>
        <v>1020</v>
      </c>
      <c r="N95" s="1">
        <f t="shared" si="22"/>
        <v>11</v>
      </c>
      <c r="O95" s="1" t="str">
        <f t="shared" si="23"/>
        <v>Q4</v>
      </c>
      <c r="P95" s="1" t="str">
        <f t="shared" ca="1" si="24"/>
        <v>Good</v>
      </c>
      <c r="Q95" s="1" t="str">
        <f t="shared" si="25"/>
        <v>November</v>
      </c>
      <c r="R95" s="1">
        <f t="shared" ca="1" si="26"/>
        <v>5.9523809523809521E-2</v>
      </c>
    </row>
    <row r="96" spans="1:18">
      <c r="A96" s="2">
        <f t="shared" si="35"/>
        <v>46353</v>
      </c>
      <c r="B96" s="1" t="str">
        <f>TEXT(A96,"dddd")</f>
        <v>Friday</v>
      </c>
      <c r="C96" s="1" t="str">
        <f>IF(A96&lt;&gt;"","Yes","")</f>
        <v>Yes</v>
      </c>
      <c r="D96" s="1">
        <f t="shared" ca="1" si="27"/>
        <v>103</v>
      </c>
      <c r="E96" s="1">
        <f t="shared" ca="1" si="28"/>
        <v>180</v>
      </c>
      <c r="F96" s="1">
        <f t="shared" ca="1" si="21"/>
        <v>190</v>
      </c>
      <c r="G96" s="1">
        <f t="shared" ca="1" si="29"/>
        <v>10</v>
      </c>
      <c r="H96" s="1">
        <f t="shared" ca="1" si="30"/>
        <v>18540</v>
      </c>
      <c r="I96" s="1">
        <f t="shared" ca="1" si="31"/>
        <v>101</v>
      </c>
      <c r="J96" s="1">
        <f t="shared" ca="1" si="36"/>
        <v>4</v>
      </c>
      <c r="K96" s="1">
        <f t="shared" ca="1" si="32"/>
        <v>3</v>
      </c>
      <c r="L96" s="1">
        <f t="shared" ca="1" si="33"/>
        <v>18620</v>
      </c>
      <c r="M96" s="1">
        <f t="shared" ca="1" si="34"/>
        <v>980</v>
      </c>
      <c r="N96" s="1">
        <f t="shared" si="22"/>
        <v>11</v>
      </c>
      <c r="O96" s="1" t="str">
        <f t="shared" si="23"/>
        <v>Q4</v>
      </c>
      <c r="P96" s="1" t="str">
        <f t="shared" ca="1" si="24"/>
        <v>Good</v>
      </c>
      <c r="Q96" s="1" t="str">
        <f t="shared" si="25"/>
        <v>November</v>
      </c>
      <c r="R96" s="1">
        <f t="shared" ca="1" si="26"/>
        <v>5.2631578947368418E-2</v>
      </c>
    </row>
    <row r="97" spans="1:18">
      <c r="A97" s="2">
        <f t="shared" si="35"/>
        <v>46357</v>
      </c>
      <c r="B97" s="1" t="str">
        <f>TEXT(A97,"dddd")</f>
        <v>Tuesday</v>
      </c>
      <c r="C97" s="1" t="str">
        <f>IF(A97&lt;&gt;"","Yes","")</f>
        <v>Yes</v>
      </c>
      <c r="D97" s="1">
        <f t="shared" ca="1" si="27"/>
        <v>91</v>
      </c>
      <c r="E97" s="1">
        <f t="shared" ca="1" si="28"/>
        <v>156</v>
      </c>
      <c r="F97" s="1">
        <f t="shared" ca="1" si="21"/>
        <v>166</v>
      </c>
      <c r="G97" s="1">
        <f t="shared" ca="1" si="29"/>
        <v>9</v>
      </c>
      <c r="H97" s="1">
        <f t="shared" ca="1" si="30"/>
        <v>14196</v>
      </c>
      <c r="I97" s="1">
        <f t="shared" ca="1" si="31"/>
        <v>88</v>
      </c>
      <c r="J97" s="1">
        <f t="shared" ca="1" si="36"/>
        <v>10</v>
      </c>
      <c r="K97" s="1">
        <f t="shared" ca="1" si="32"/>
        <v>3</v>
      </c>
      <c r="L97" s="1">
        <f t="shared" ca="1" si="33"/>
        <v>14110</v>
      </c>
      <c r="M97" s="1">
        <f t="shared" ca="1" si="34"/>
        <v>765</v>
      </c>
      <c r="N97" s="1">
        <f t="shared" si="22"/>
        <v>12</v>
      </c>
      <c r="O97" s="1" t="str">
        <f t="shared" si="23"/>
        <v>Q4</v>
      </c>
      <c r="P97" s="1" t="str">
        <f t="shared" ca="1" si="24"/>
        <v>Needs Attention</v>
      </c>
      <c r="Q97" s="1" t="str">
        <f t="shared" si="25"/>
        <v>December</v>
      </c>
      <c r="R97" s="1">
        <f t="shared" ca="1" si="26"/>
        <v>5.4216867469879519E-2</v>
      </c>
    </row>
    <row r="98" spans="1:18">
      <c r="A98" s="2">
        <f t="shared" si="35"/>
        <v>46360</v>
      </c>
      <c r="B98" s="1" t="str">
        <f>TEXT(A98,"dddd")</f>
        <v>Friday</v>
      </c>
      <c r="C98" s="1" t="str">
        <f>IF(A98&lt;&gt;"","Yes","")</f>
        <v>Yes</v>
      </c>
      <c r="D98" s="1">
        <f t="shared" ca="1" si="27"/>
        <v>115</v>
      </c>
      <c r="E98" s="1">
        <f t="shared" ca="1" si="28"/>
        <v>180</v>
      </c>
      <c r="F98" s="1">
        <f t="shared" ca="1" si="21"/>
        <v>190</v>
      </c>
      <c r="G98" s="1">
        <f t="shared" ca="1" si="29"/>
        <v>8</v>
      </c>
      <c r="H98" s="1">
        <f t="shared" ca="1" si="30"/>
        <v>20700</v>
      </c>
      <c r="I98" s="1">
        <f t="shared" ca="1" si="31"/>
        <v>103</v>
      </c>
      <c r="J98" s="1">
        <f t="shared" ca="1" si="36"/>
        <v>1</v>
      </c>
      <c r="K98" s="1">
        <f t="shared" ca="1" si="32"/>
        <v>1</v>
      </c>
      <c r="L98" s="1">
        <f t="shared" ca="1" si="33"/>
        <v>19380</v>
      </c>
      <c r="M98" s="1">
        <f t="shared" ca="1" si="34"/>
        <v>816</v>
      </c>
      <c r="N98" s="1">
        <f t="shared" ref="N98:N105" si="37">MONTH(A98)</f>
        <v>12</v>
      </c>
      <c r="O98" s="1" t="str">
        <f t="shared" ref="O98:O105" si="38">"Q"&amp;ROUNDUP(MONTH(A98)/3,0)</f>
        <v>Q4</v>
      </c>
      <c r="P98" s="1" t="str">
        <f t="shared" ref="P98:P105" ca="1" si="39">IF(M98&gt;=900,"Good","Needs Attention")</f>
        <v>Needs Attention</v>
      </c>
      <c r="Q98" s="1" t="str">
        <f t="shared" ref="Q98:Q105" si="40">TEXT(A98,"mmmm")</f>
        <v>December</v>
      </c>
      <c r="R98" s="1">
        <f t="shared" ref="R98:R105" ca="1" si="41">M98/L98</f>
        <v>4.2105263157894736E-2</v>
      </c>
    </row>
    <row r="99" spans="1:18">
      <c r="A99" s="2">
        <f t="shared" si="35"/>
        <v>46364</v>
      </c>
      <c r="B99" s="1" t="str">
        <f>TEXT(A99,"dddd")</f>
        <v>Tuesday</v>
      </c>
      <c r="C99" s="1" t="str">
        <f>IF(A99&lt;&gt;"","Yes","")</f>
        <v>Yes</v>
      </c>
      <c r="D99" s="1">
        <f t="shared" ca="1" si="27"/>
        <v>98</v>
      </c>
      <c r="E99" s="1">
        <f t="shared" ca="1" si="28"/>
        <v>165</v>
      </c>
      <c r="F99" s="1">
        <f t="shared" ca="1" si="21"/>
        <v>175</v>
      </c>
      <c r="G99" s="1">
        <f t="shared" ca="1" si="29"/>
        <v>9</v>
      </c>
      <c r="H99" s="1">
        <f t="shared" ca="1" si="30"/>
        <v>16170</v>
      </c>
      <c r="I99" s="1">
        <f t="shared" ca="1" si="31"/>
        <v>95</v>
      </c>
      <c r="J99" s="1">
        <f t="shared" ca="1" si="36"/>
        <v>6</v>
      </c>
      <c r="K99" s="1">
        <f t="shared" ca="1" si="32"/>
        <v>0</v>
      </c>
      <c r="L99" s="1">
        <f t="shared" ca="1" si="33"/>
        <v>16625</v>
      </c>
      <c r="M99" s="1">
        <f t="shared" ca="1" si="34"/>
        <v>855</v>
      </c>
      <c r="N99" s="1">
        <f t="shared" si="37"/>
        <v>12</v>
      </c>
      <c r="O99" s="1" t="str">
        <f t="shared" si="38"/>
        <v>Q4</v>
      </c>
      <c r="P99" s="1" t="str">
        <f t="shared" ca="1" si="39"/>
        <v>Needs Attention</v>
      </c>
      <c r="Q99" s="1" t="str">
        <f t="shared" si="40"/>
        <v>December</v>
      </c>
      <c r="R99" s="1">
        <f t="shared" ca="1" si="41"/>
        <v>5.1428571428571428E-2</v>
      </c>
    </row>
    <row r="100" spans="1:18">
      <c r="A100" s="2">
        <f t="shared" si="35"/>
        <v>46367</v>
      </c>
      <c r="B100" s="1" t="str">
        <f>TEXT(A100,"dddd")</f>
        <v>Friday</v>
      </c>
      <c r="C100" s="1" t="str">
        <f>IF(A100&lt;&gt;"","Yes","")</f>
        <v>Yes</v>
      </c>
      <c r="D100" s="1">
        <f t="shared" ca="1" si="27"/>
        <v>114</v>
      </c>
      <c r="E100" s="1">
        <f t="shared" ca="1" si="28"/>
        <v>179</v>
      </c>
      <c r="F100" s="1">
        <f t="shared" ca="1" si="21"/>
        <v>189</v>
      </c>
      <c r="G100" s="1">
        <f t="shared" ca="1" si="29"/>
        <v>8</v>
      </c>
      <c r="H100" s="1">
        <f t="shared" ca="1" si="30"/>
        <v>20406</v>
      </c>
      <c r="I100" s="1">
        <f t="shared" ca="1" si="31"/>
        <v>104</v>
      </c>
      <c r="J100" s="1">
        <f t="shared" ca="1" si="36"/>
        <v>1</v>
      </c>
      <c r="K100" s="1">
        <f t="shared" ca="1" si="32"/>
        <v>0</v>
      </c>
      <c r="L100" s="1">
        <f t="shared" ca="1" si="33"/>
        <v>19656</v>
      </c>
      <c r="M100" s="1">
        <f t="shared" ca="1" si="34"/>
        <v>832</v>
      </c>
      <c r="N100" s="1">
        <f t="shared" si="37"/>
        <v>12</v>
      </c>
      <c r="O100" s="1" t="str">
        <f t="shared" si="38"/>
        <v>Q4</v>
      </c>
      <c r="P100" s="1" t="str">
        <f t="shared" ca="1" si="39"/>
        <v>Needs Attention</v>
      </c>
      <c r="Q100" s="1" t="str">
        <f t="shared" si="40"/>
        <v>December</v>
      </c>
      <c r="R100" s="1">
        <f t="shared" ca="1" si="41"/>
        <v>4.2328042328042326E-2</v>
      </c>
    </row>
    <row r="101" spans="1:18">
      <c r="A101" s="2">
        <f t="shared" si="35"/>
        <v>46371</v>
      </c>
      <c r="B101" s="1" t="str">
        <f>TEXT(A101,"dddd")</f>
        <v>Tuesday</v>
      </c>
      <c r="C101" s="1" t="str">
        <f>IF(A101&lt;&gt;"","Yes","")</f>
        <v>Yes</v>
      </c>
      <c r="D101" s="1">
        <f t="shared" ca="1" si="27"/>
        <v>105</v>
      </c>
      <c r="E101" s="1">
        <f t="shared" ca="1" si="28"/>
        <v>162</v>
      </c>
      <c r="F101" s="1">
        <f t="shared" ca="1" si="21"/>
        <v>172</v>
      </c>
      <c r="G101" s="1">
        <f t="shared" ca="1" si="29"/>
        <v>9</v>
      </c>
      <c r="H101" s="1">
        <f t="shared" ca="1" si="30"/>
        <v>17010</v>
      </c>
      <c r="I101" s="1">
        <f t="shared" ca="1" si="31"/>
        <v>90</v>
      </c>
      <c r="J101" s="1">
        <f t="shared" ca="1" si="36"/>
        <v>3</v>
      </c>
      <c r="K101" s="1">
        <f t="shared" ca="1" si="32"/>
        <v>3</v>
      </c>
      <c r="L101" s="1">
        <f t="shared" ca="1" si="33"/>
        <v>14964</v>
      </c>
      <c r="M101" s="1">
        <f t="shared" ca="1" si="34"/>
        <v>783</v>
      </c>
      <c r="N101" s="1">
        <f t="shared" si="37"/>
        <v>12</v>
      </c>
      <c r="O101" s="1" t="str">
        <f t="shared" si="38"/>
        <v>Q4</v>
      </c>
      <c r="P101" s="1" t="str">
        <f t="shared" ca="1" si="39"/>
        <v>Needs Attention</v>
      </c>
      <c r="Q101" s="1" t="str">
        <f t="shared" si="40"/>
        <v>December</v>
      </c>
      <c r="R101" s="1">
        <f t="shared" ca="1" si="41"/>
        <v>5.232558139534884E-2</v>
      </c>
    </row>
    <row r="102" spans="1:18">
      <c r="A102" s="2">
        <f t="shared" si="35"/>
        <v>46374</v>
      </c>
      <c r="B102" s="1" t="str">
        <f>TEXT(A102,"dddd")</f>
        <v>Friday</v>
      </c>
      <c r="C102" s="1" t="str">
        <f>IF(A102&lt;&gt;"","Yes","")</f>
        <v>Yes</v>
      </c>
      <c r="D102" s="1">
        <f t="shared" ca="1" si="27"/>
        <v>107</v>
      </c>
      <c r="E102" s="1">
        <f t="shared" ca="1" si="28"/>
        <v>168</v>
      </c>
      <c r="F102" s="1">
        <f t="shared" ca="1" si="21"/>
        <v>178</v>
      </c>
      <c r="G102" s="1">
        <f t="shared" ca="1" si="29"/>
        <v>9</v>
      </c>
      <c r="H102" s="1">
        <f t="shared" ca="1" si="30"/>
        <v>17976</v>
      </c>
      <c r="I102" s="1">
        <f t="shared" ca="1" si="31"/>
        <v>93</v>
      </c>
      <c r="J102" s="1">
        <f t="shared" ca="1" si="36"/>
        <v>-1</v>
      </c>
      <c r="K102" s="1">
        <f t="shared" ca="1" si="32"/>
        <v>2</v>
      </c>
      <c r="L102" s="1">
        <f t="shared" ca="1" si="33"/>
        <v>16198</v>
      </c>
      <c r="M102" s="1">
        <f t="shared" ca="1" si="34"/>
        <v>819</v>
      </c>
      <c r="N102" s="1">
        <f t="shared" si="37"/>
        <v>12</v>
      </c>
      <c r="O102" s="1" t="str">
        <f t="shared" si="38"/>
        <v>Q4</v>
      </c>
      <c r="P102" s="1" t="str">
        <f t="shared" ca="1" si="39"/>
        <v>Needs Attention</v>
      </c>
      <c r="Q102" s="1" t="str">
        <f t="shared" si="40"/>
        <v>December</v>
      </c>
      <c r="R102" s="1">
        <f t="shared" ca="1" si="41"/>
        <v>5.0561797752808987E-2</v>
      </c>
    </row>
    <row r="103" spans="1:18">
      <c r="A103" s="2">
        <f t="shared" si="35"/>
        <v>46378</v>
      </c>
      <c r="B103" s="1" t="str">
        <f>TEXT(A103,"dddd")</f>
        <v>Tuesday</v>
      </c>
      <c r="C103" s="1" t="str">
        <f>IF(A103&lt;&gt;"","Yes","")</f>
        <v>Yes</v>
      </c>
      <c r="D103" s="1">
        <f t="shared" ca="1" si="27"/>
        <v>94</v>
      </c>
      <c r="E103" s="1">
        <f t="shared" ca="1" si="28"/>
        <v>159</v>
      </c>
      <c r="F103" s="1">
        <f t="shared" ca="1" si="21"/>
        <v>169</v>
      </c>
      <c r="G103" s="1">
        <f t="shared" ca="1" si="29"/>
        <v>8</v>
      </c>
      <c r="H103" s="1">
        <f t="shared" ca="1" si="30"/>
        <v>14946</v>
      </c>
      <c r="I103" s="1">
        <f t="shared" ca="1" si="31"/>
        <v>92</v>
      </c>
      <c r="J103" s="1">
        <f t="shared" ca="1" si="36"/>
        <v>2</v>
      </c>
      <c r="K103" s="1">
        <f t="shared" ca="1" si="32"/>
        <v>1</v>
      </c>
      <c r="L103" s="1">
        <f t="shared" ca="1" si="33"/>
        <v>15379</v>
      </c>
      <c r="M103" s="1">
        <f t="shared" ca="1" si="34"/>
        <v>728</v>
      </c>
      <c r="N103" s="1">
        <f t="shared" si="37"/>
        <v>12</v>
      </c>
      <c r="O103" s="1" t="str">
        <f t="shared" si="38"/>
        <v>Q4</v>
      </c>
      <c r="P103" s="1" t="str">
        <f t="shared" ca="1" si="39"/>
        <v>Needs Attention</v>
      </c>
      <c r="Q103" s="1" t="str">
        <f t="shared" si="40"/>
        <v>December</v>
      </c>
      <c r="R103" s="1">
        <f t="shared" ca="1" si="41"/>
        <v>4.7337278106508875E-2</v>
      </c>
    </row>
    <row r="104" spans="1:18">
      <c r="A104" s="2">
        <f t="shared" si="35"/>
        <v>46381</v>
      </c>
      <c r="B104" s="1" t="str">
        <f>TEXT(A104,"dddd")</f>
        <v>Friday</v>
      </c>
      <c r="C104" s="1" t="str">
        <f>IF(A104&lt;&gt;"","Yes","")</f>
        <v>Yes</v>
      </c>
      <c r="D104" s="1">
        <f t="shared" ca="1" si="27"/>
        <v>106</v>
      </c>
      <c r="E104" s="1">
        <f t="shared" ca="1" si="28"/>
        <v>172</v>
      </c>
      <c r="F104" s="1">
        <f t="shared" ca="1" si="21"/>
        <v>182</v>
      </c>
      <c r="G104" s="1">
        <f t="shared" ca="1" si="29"/>
        <v>8</v>
      </c>
      <c r="H104" s="1">
        <f t="shared" ca="1" si="30"/>
        <v>18232</v>
      </c>
      <c r="I104" s="1">
        <f t="shared" ca="1" si="31"/>
        <v>97</v>
      </c>
      <c r="J104" s="1">
        <f t="shared" ca="1" si="36"/>
        <v>-3</v>
      </c>
      <c r="K104" s="1">
        <f t="shared" ca="1" si="32"/>
        <v>1</v>
      </c>
      <c r="L104" s="1">
        <f t="shared" ca="1" si="33"/>
        <v>17472</v>
      </c>
      <c r="M104" s="1">
        <f t="shared" ca="1" si="34"/>
        <v>768</v>
      </c>
      <c r="N104" s="1">
        <f t="shared" si="37"/>
        <v>12</v>
      </c>
      <c r="O104" s="1" t="str">
        <f t="shared" si="38"/>
        <v>Q4</v>
      </c>
      <c r="P104" s="1" t="str">
        <f t="shared" ca="1" si="39"/>
        <v>Needs Attention</v>
      </c>
      <c r="Q104" s="1" t="str">
        <f t="shared" si="40"/>
        <v>December</v>
      </c>
      <c r="R104" s="1">
        <f t="shared" ca="1" si="41"/>
        <v>4.3956043956043959E-2</v>
      </c>
    </row>
    <row r="105" spans="1:18">
      <c r="A105" s="2">
        <f t="shared" si="35"/>
        <v>46385</v>
      </c>
      <c r="B105" s="1" t="str">
        <f>TEXT(A105,"dddd")</f>
        <v>Tuesday</v>
      </c>
      <c r="C105" s="1" t="str">
        <f>IF(A105&lt;&gt;"","Yes","")</f>
        <v>Yes</v>
      </c>
      <c r="D105" s="1">
        <f t="shared" ca="1" si="27"/>
        <v>98</v>
      </c>
      <c r="E105" s="1">
        <f t="shared" ca="1" si="28"/>
        <v>160</v>
      </c>
      <c r="F105" s="1">
        <f t="shared" ca="1" si="21"/>
        <v>170</v>
      </c>
      <c r="G105" s="1">
        <f t="shared" ca="1" si="29"/>
        <v>10</v>
      </c>
      <c r="H105" s="1">
        <f t="shared" ca="1" si="30"/>
        <v>15680</v>
      </c>
      <c r="I105" s="1">
        <f t="shared" ca="1" si="31"/>
        <v>86</v>
      </c>
      <c r="J105" s="1">
        <f t="shared" ca="1" si="36"/>
        <v>9</v>
      </c>
      <c r="K105" s="1">
        <f t="shared" ca="1" si="32"/>
        <v>1</v>
      </c>
      <c r="L105" s="1">
        <f t="shared" ca="1" si="33"/>
        <v>14450</v>
      </c>
      <c r="M105" s="1">
        <f t="shared" ca="1" si="34"/>
        <v>850</v>
      </c>
      <c r="N105" s="1">
        <f t="shared" si="37"/>
        <v>12</v>
      </c>
      <c r="O105" s="1" t="str">
        <f t="shared" si="38"/>
        <v>Q4</v>
      </c>
      <c r="P105" s="1" t="str">
        <f t="shared" ca="1" si="39"/>
        <v>Needs Attention</v>
      </c>
      <c r="Q105" s="1" t="str">
        <f t="shared" si="40"/>
        <v>December</v>
      </c>
      <c r="R105" s="1">
        <f t="shared" ca="1" si="41"/>
        <v>5.8823529411764705E-2</v>
      </c>
    </row>
    <row r="106" spans="1:18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8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8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8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8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8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8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2026-06-08T04:59:45Z</dcterms:created>
  <dcterms:modified xsi:type="dcterms:W3CDTF">2026-06-10T04:18:29Z</dcterms:modified>
  <cp:category/>
  <cp:contentStatus/>
</cp:coreProperties>
</file>